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temp considerfunding\Beantragung\"/>
    </mc:Choice>
  </mc:AlternateContent>
  <xr:revisionPtr revIDLastSave="0" documentId="8_{824DAF23-868F-470A-AA35-15AC45B9CFDF}" xr6:coauthVersionLast="47" xr6:coauthVersionMax="47" xr10:uidLastSave="{00000000-0000-0000-0000-000000000000}"/>
  <bookViews>
    <workbookView xWindow="57480" yWindow="-120" windowWidth="29040" windowHeight="15720" xr2:uid="{B31D6C6D-C821-0543-9CD7-D49CC9DCF43D}"/>
  </bookViews>
  <sheets>
    <sheet name="Arbeitsplan" sheetId="30" r:id="rId1"/>
    <sheet name="Jahresscheiben" sheetId="31" r:id="rId2"/>
  </sheets>
  <definedNames>
    <definedName name="_xlnm._FilterDatabase" localSheetId="0" hidden="1">Arbeitsplan!$A$1:$G$65</definedName>
    <definedName name="AN_Vorhaben1">#REF!</definedName>
    <definedName name="AN_Vorhaben2">#REF!</definedName>
    <definedName name="AN_Vorhaben3">#REF!</definedName>
    <definedName name="AN_Vorhaben4">#REF!</definedName>
    <definedName name="AN_Vorhaben5">#REF!</definedName>
    <definedName name="AN_Vorhaben6">#REF!</definedName>
    <definedName name="AN_Vorhaben7">#REF!</definedName>
    <definedName name="BeantrFZ2020">#REF!</definedName>
    <definedName name="BeantrFZ2021">#REF!</definedName>
    <definedName name="BeantrFZ2022">#REF!</definedName>
    <definedName name="BeantrFZ2023">#REF!</definedName>
    <definedName name="BeantrFZ2024">#REF!</definedName>
    <definedName name="BeantrFZ2025">#REF!</definedName>
    <definedName name="Bundesland">#REF!</definedName>
    <definedName name="CountLines">_xlfn.LAMBDA(_xlpm.Zelle,LEN(_xlpm.Zelle)-LEN(SUBSTITUTE(_xlpm.Zelle,CHAR(10),""))+1)</definedName>
    <definedName name="Display_Week">Arbeitsplan!$D$4</definedName>
    <definedName name="GetAGBeitrag">_xlfn.LAMBDA(_xlpm.links,_xlpm.rechts,IF(CountLines(_xlpm.links)+CountLines(_xlpm.rechts)=6,GetSteuerbruttoZ3(_xlpm.links)&amp;","&amp;GetSteuerbruttoZ3(_xlpm.rechts),""))</definedName>
    <definedName name="GetColOfAry" comment="Target Column Number; Array">_xlfn.LAMBDA(_xlpm.targetcol,_xlpm.ary,  _xlfn.TAKE(_xlfn.TAKE(_xlpm.ary,,_xlpm.targetcol),,-1)  )</definedName>
    <definedName name="GetName">_xlfn.LAMBDA(_xlpm.Zelle1,_xlpm.Zelle2,_xlpm.Zelle3,_xlpm.Zelle4,  _xlfn.LET(_xlpm.name,SUBSTITUTE(SUBSTITUTE(SUBSTITUTE(RemoveNumbers(_xlpm.Zelle1)&amp;RemoveNumbers(_xlpm.Zelle2)&amp;RemoveNumbers(_xlpm.Zelle3)&amp;RemoveNumbers(_xlpm.Zelle4)," ",""),",",", "),CHAR(10),""),    IF(RIGHT(_xlpm.name,2)="NB",LEFT(_xlpm.name,LEN(_xlpm.name)-2),  IF(RIGHT(_xlpm.name,4)="NBVJ",LEFT(_xlpm.name,LEN(_xlpm.name)-4),  IF(RIGHT(_xlpm.name,5)="EVJMK",LEFT(_xlpm.name,LEN(_xlpm.name)-5),  IF(RIGHT(_xlpm.name,1)="E",LEFT(_xlpm.name,LEN(_xlpm.name)-1),  _xlpm.name)))  )  ))</definedName>
    <definedName name="GetNameOfMonth">_xlfn.LAMBDA(_xlpm.txt,  SUBSTITUTE(SUBSTITUTE(SUBSTITUTE(SUBSTITUTE(SUBSTITUTE(SUBSTITUTE(SUBSTITUTE(SUBSTITUTE(SUBSTITUTE(SUBSTITUTE(SUBSTITUTE(SUBSTITUTE(_xlpm.txt,10,"Okt"),11,"Nov"),12,"Dez"),4,"Apr"),5,"Mai"),6,"Jun"),7,"Jul"),8,"Aug"),9,"Sep"),1,"Jan"),2,"Feb"),3,"Mär"))</definedName>
    <definedName name="GetNumberofMonth">_xlfn.LAMBDA(_xlpm.txt,  SUBSTITUTE(SUBSTITUTE(SUBSTITUTE(SUBSTITUTE(SUBSTITUTE(SUBSTITUTE(SUBSTITUTE(SUBSTITUTE(SUBSTITUTE(SUBSTITUTE(SUBSTITUTE(SUBSTITUTE(_xlpm.txt,"Dez",12),"Nov",11),"Okt",10),"Sep",9),"Aug",8),"Jul",7),"Jun",6),"Mai",5),"Apr",4),"Mär",3),"Feb",2),"Jan",1))</definedName>
    <definedName name="GetNumbers">_xlfn.LAMBDA(_xlpm.Zelle,SUM(MID(0&amp;_xlpm.Zelle,LARGE(INDEX(ISNUMBER(--MID(_xlpm.Zelle,ROW(#REF!),1))*ROW(#REF!),),ROW(#REF!))+1,1)*10^ROW(#REF!)/10))</definedName>
    <definedName name="GetSteuerbruttoZ2">_xlfn.LAMBDA(_xlpm.Steuerbruttozeile,IF(LEN(_xlpm.Steuerbruttozeile)-LEN(SUBSTITUTE(_xlpm.Steuerbruttozeile,CHAR(10),""))+1=3,SUBSTITUTE(SUBSTITUTE(INDEX(_xlfn.TEXTSPLIT(_xlpm.Steuerbruttozeile,CHAR(10)),,2)," ",""),".",""),GetNumbers(_xlpm.Steuerbruttozeile)))</definedName>
    <definedName name="GetSteuerbruttoZ3">_xlfn.LAMBDA(_xlpm.Steuerbruttozeile,TRIM(IF(LEN(_xlpm.Steuerbruttozeile)-LEN(SUBSTITUTE(_xlpm.Steuerbruttozeile,CHAR(10),""))+1=3,SUBSTITUTE(SUBSTITUTE(INDEX(_xlfn.TEXTSPLIT(_xlpm.Steuerbruttozeile,CHAR(10)),,3)," ",""),".",""),"")))</definedName>
    <definedName name="GewählterMA">#REF!</definedName>
    <definedName name="GewähltesVorhaben">#REF!</definedName>
    <definedName name="Jahr1">#REF!</definedName>
    <definedName name="Jahr2">#REF!</definedName>
    <definedName name="Jahr3">#REF!</definedName>
    <definedName name="Jahr4">#REF!</definedName>
    <definedName name="Jahr5">#REF!</definedName>
    <definedName name="Jahr6">#REF!</definedName>
    <definedName name="Kosten2020">#REF!</definedName>
    <definedName name="Kosten2021">#REF!</definedName>
    <definedName name="Kosten2022">#REF!</definedName>
    <definedName name="Kosten2023">#REF!</definedName>
    <definedName name="Kosten2024">#REF!</definedName>
    <definedName name="Kosten2025">#REF!</definedName>
    <definedName name="LJ_Names">_xlfn.LET(_xlpm.ary,_xlfn.UNIQUE(#REF!),  _xlpm.out,_xlfn._xlws.FILTER(_xlfn.CHOOSECOLS(_xlpm.ary,1),  (_xlpm.ary&lt;&gt;"Name")*  (_xlpm.ary&lt;&gt;0)*  (_xlpm.ary&lt;&gt;"Nam")*  (_xlpm.ary&lt;&gt;"hnung")*  (_xlpm.ary&lt;&gt;"")*  NOT(ISNUMBER(SEARCH("steuer", _xlpm.ary)))*  NOT(ISNUMBER(SEARCH("lohn", _xlpm.ary)))*  NOT(ISNUMBER(SEARCH("Kirche", _xlpm.ary)))*  NOT(ISNUMBER(SEARCH("Pausch", _xlpm.ary)))*  NOT(ISNUMBER(SEARCH("§", _xlpm.ary)))),  _xlfn._xlws.SORT(_xlpm.out)  )</definedName>
    <definedName name="Mitarbeiter">_xlfn.ANCHORARRAY(#REF!)</definedName>
    <definedName name="Proj1">#REF!</definedName>
    <definedName name="Proj2">#REF!</definedName>
    <definedName name="Proj3">#REF!</definedName>
    <definedName name="Proj4">#REF!</definedName>
    <definedName name="Proj5">#REF!</definedName>
    <definedName name="Proj6">#REF!</definedName>
    <definedName name="Proj7">#REF!</definedName>
    <definedName name="Project_Start">Arbeitsplan!$D$3</definedName>
    <definedName name="RemoveNumbers">_xlfn.LAMBDA(_xlpm.Zelle,TRIM(    SUBSTITUTE(    SUBSTITUTE(SUBSTITUTE(SUBSTITUTE(SUBSTITUTE(SUBSTITUTE(SUBSTITUTE(SUBSTITUTE(SUBSTITUTE(SUBSTITUTE(SUBSTITUTE(SUBSTITUTE(SUBSTITUTE(SUBSTITUTE(SUBSTITUTE(SUBSTITUTE(SUBSTITUTE(SUBSTITUTE(SUBSTITUTE(SUBSTITUTE(SUBSTITUTE(_xlpm.Zelle,1,""),2,""),3,""),4,""),5,""),6,""),7,""),8,""),9,""),0,"")," 1","")," 2","")," 3","")," 4","")," 5","")," 6","")," 7","")," 8","")," 9","")," 0","")," . ","")    ))</definedName>
    <definedName name="Steuerland">#REF!</definedName>
    <definedName name="Steuernummer_kurz">#REF!</definedName>
    <definedName name="Steuernummer_lang">#REF!</definedName>
    <definedName name="task_end" localSheetId="0">#REF!</definedName>
    <definedName name="task_start" localSheetId="0">#REF!</definedName>
    <definedName name="WJ">#REF!</definedName>
    <definedName name="WJ_2020">#REF!</definedName>
    <definedName name="WJ_2021">#REF!</definedName>
    <definedName name="WJ_2022">#REF!</definedName>
    <definedName name="WJ_2023">#REF!</definedName>
    <definedName name="WJ_2024">#REF!</definedName>
    <definedName name="WJ_2025">#REF!</definedName>
    <definedName name="Year_Valid_V1">#REF!</definedName>
    <definedName name="Year_Valid_V2">#REF!</definedName>
    <definedName name="Year_Valid_V3">#REF!</definedName>
    <definedName name="Year_Valid_V4">#REF!</definedName>
    <definedName name="Year_Valid_V5">#REF!</definedName>
    <definedName name="Year_Valid_V6">#REF!</definedName>
    <definedName name="Year_Valid_V7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31" l="1"/>
  <c r="FA11" i="30"/>
  <c r="FB11" i="30"/>
  <c r="FC11" i="30"/>
  <c r="FD11" i="30"/>
  <c r="FE11" i="30"/>
  <c r="FF11" i="30"/>
  <c r="FG11" i="30"/>
  <c r="FA16" i="30"/>
  <c r="FB16" i="30"/>
  <c r="FC16" i="30"/>
  <c r="FD16" i="30"/>
  <c r="FE16" i="30"/>
  <c r="FF16" i="30"/>
  <c r="FG16" i="30"/>
  <c r="FA21" i="30"/>
  <c r="FB21" i="30"/>
  <c r="FC21" i="30"/>
  <c r="FD21" i="30"/>
  <c r="FE21" i="30"/>
  <c r="FF21" i="30"/>
  <c r="FG21" i="30"/>
  <c r="FA26" i="30"/>
  <c r="FB26" i="30"/>
  <c r="FC26" i="30"/>
  <c r="FD26" i="30"/>
  <c r="FE26" i="30"/>
  <c r="FF26" i="30"/>
  <c r="FG26" i="30"/>
  <c r="FB6" i="30"/>
  <c r="FC6" i="30"/>
  <c r="FD6" i="30"/>
  <c r="FE6" i="30"/>
  <c r="FF6" i="30"/>
  <c r="FG6" i="30"/>
  <c r="FA6" i="30"/>
  <c r="EX57" i="30"/>
  <c r="EW57" i="30"/>
  <c r="EV57" i="30"/>
  <c r="EU57" i="30"/>
  <c r="ET57" i="30"/>
  <c r="ES57" i="30"/>
  <c r="ER57" i="30"/>
  <c r="DV57" i="30"/>
  <c r="DU57" i="30"/>
  <c r="DT57" i="30"/>
  <c r="DS57" i="30"/>
  <c r="DR57" i="30"/>
  <c r="DQ57" i="30"/>
  <c r="DP57" i="30"/>
  <c r="DK57" i="30"/>
  <c r="DJ57" i="30"/>
  <c r="DI57" i="30"/>
  <c r="DH57" i="30"/>
  <c r="DG57" i="30"/>
  <c r="DF57" i="30"/>
  <c r="DE57" i="30"/>
  <c r="DD57" i="30"/>
  <c r="DC57" i="30"/>
  <c r="DB57" i="30"/>
  <c r="DA57" i="30"/>
  <c r="CZ57" i="30"/>
  <c r="CY57" i="30"/>
  <c r="CX57" i="30"/>
  <c r="CW57" i="30"/>
  <c r="CV57" i="30"/>
  <c r="CU57" i="30"/>
  <c r="CT57" i="30"/>
  <c r="CS57" i="30"/>
  <c r="CR57" i="30"/>
  <c r="CQ57" i="30"/>
  <c r="CP57" i="30"/>
  <c r="CO57" i="30"/>
  <c r="CN57" i="30"/>
  <c r="CM57" i="30"/>
  <c r="CL57" i="30"/>
  <c r="CK57" i="30"/>
  <c r="CJ57" i="30"/>
  <c r="CI57" i="30"/>
  <c r="CH57" i="30"/>
  <c r="CG57" i="30"/>
  <c r="CF57" i="30"/>
  <c r="CE57" i="30"/>
  <c r="CD57" i="30"/>
  <c r="CC57" i="30"/>
  <c r="CB57" i="30"/>
  <c r="CA57" i="30"/>
  <c r="BZ57" i="30"/>
  <c r="BY57" i="30"/>
  <c r="BX57" i="30"/>
  <c r="BW57" i="30"/>
  <c r="BV57" i="30"/>
  <c r="BU57" i="30"/>
  <c r="BT57" i="30"/>
  <c r="BS57" i="30"/>
  <c r="BR57" i="30"/>
  <c r="BQ57" i="30"/>
  <c r="BP57" i="30"/>
  <c r="BO57" i="30"/>
  <c r="BN57" i="30"/>
  <c r="BM57" i="30"/>
  <c r="BL57" i="30"/>
  <c r="BK57" i="30"/>
  <c r="BJ57" i="30"/>
  <c r="BI57" i="30"/>
  <c r="BH57" i="30"/>
  <c r="BG57" i="30"/>
  <c r="BF57" i="30"/>
  <c r="BE57" i="30"/>
  <c r="BD57" i="30"/>
  <c r="BC57" i="30"/>
  <c r="BB57" i="30"/>
  <c r="BA57" i="30"/>
  <c r="AZ57" i="30"/>
  <c r="AY57" i="30"/>
  <c r="AX57" i="30"/>
  <c r="AW57" i="30"/>
  <c r="AV57" i="30"/>
  <c r="AU57" i="30"/>
  <c r="AT57" i="30"/>
  <c r="AS57" i="30"/>
  <c r="AR57" i="30"/>
  <c r="AQ57" i="30"/>
  <c r="AP57" i="30"/>
  <c r="AO57" i="30"/>
  <c r="AN57" i="30"/>
  <c r="AM57" i="30"/>
  <c r="AL57" i="30"/>
  <c r="AK57" i="30"/>
  <c r="AJ57" i="30"/>
  <c r="AI57" i="30"/>
  <c r="AH57" i="30"/>
  <c r="AG57" i="30"/>
  <c r="AF57" i="30"/>
  <c r="P57" i="30"/>
  <c r="J57" i="30"/>
  <c r="I57" i="30"/>
  <c r="C57" i="30"/>
  <c r="B57" i="30"/>
  <c r="DK56" i="30"/>
  <c r="DJ56" i="30"/>
  <c r="DI56" i="30"/>
  <c r="DH56" i="30"/>
  <c r="DG56" i="30"/>
  <c r="DF56" i="30"/>
  <c r="DE56" i="30"/>
  <c r="DD56" i="30"/>
  <c r="DC56" i="30"/>
  <c r="DB56" i="30"/>
  <c r="DA56" i="30"/>
  <c r="CZ56" i="30"/>
  <c r="CY56" i="30"/>
  <c r="CX56" i="30"/>
  <c r="CW56" i="30"/>
  <c r="CV56" i="30"/>
  <c r="CU56" i="30"/>
  <c r="CT56" i="30"/>
  <c r="CS56" i="30"/>
  <c r="CR56" i="30"/>
  <c r="CQ56" i="30"/>
  <c r="CP56" i="30"/>
  <c r="CO56" i="30"/>
  <c r="CN56" i="30"/>
  <c r="CM56" i="30"/>
  <c r="CL56" i="30"/>
  <c r="CK56" i="30"/>
  <c r="CJ56" i="30"/>
  <c r="CI56" i="30"/>
  <c r="CH56" i="30"/>
  <c r="CG56" i="30"/>
  <c r="CF56" i="30"/>
  <c r="CE56" i="30"/>
  <c r="CD56" i="30"/>
  <c r="CC56" i="30"/>
  <c r="CB56" i="30"/>
  <c r="CA56" i="30"/>
  <c r="BZ56" i="30"/>
  <c r="BY56" i="30"/>
  <c r="BX56" i="30"/>
  <c r="BW56" i="30"/>
  <c r="BV56" i="30"/>
  <c r="BU56" i="30"/>
  <c r="BT56" i="30"/>
  <c r="BS56" i="30"/>
  <c r="BR56" i="30"/>
  <c r="BQ56" i="30"/>
  <c r="BP56" i="30"/>
  <c r="BO56" i="30"/>
  <c r="BN56" i="30"/>
  <c r="BM56" i="30"/>
  <c r="BL56" i="30"/>
  <c r="BK56" i="30"/>
  <c r="BJ56" i="30"/>
  <c r="BI56" i="30"/>
  <c r="BH56" i="30"/>
  <c r="BG56" i="30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M56" i="30"/>
  <c r="AL56" i="30"/>
  <c r="AK56" i="30"/>
  <c r="AJ56" i="30"/>
  <c r="AI56" i="30"/>
  <c r="AH56" i="30"/>
  <c r="AG56" i="30"/>
  <c r="AF56" i="30"/>
  <c r="P56" i="30"/>
  <c r="J56" i="30"/>
  <c r="I56" i="30"/>
  <c r="C56" i="30"/>
  <c r="B56" i="30"/>
  <c r="EX34" i="30"/>
  <c r="EW34" i="30"/>
  <c r="EV34" i="30"/>
  <c r="EU34" i="30"/>
  <c r="ET34" i="30"/>
  <c r="ES34" i="30"/>
  <c r="ER34" i="30"/>
  <c r="DV34" i="30"/>
  <c r="DU34" i="30"/>
  <c r="DT34" i="30"/>
  <c r="DS34" i="30"/>
  <c r="DR34" i="30"/>
  <c r="DQ34" i="30"/>
  <c r="DP34" i="30"/>
  <c r="DK34" i="30"/>
  <c r="DJ34" i="30"/>
  <c r="DI34" i="30"/>
  <c r="DH34" i="30"/>
  <c r="DG34" i="30"/>
  <c r="DF34" i="30"/>
  <c r="DE34" i="30"/>
  <c r="DD34" i="30"/>
  <c r="DC34" i="30"/>
  <c r="DB34" i="30"/>
  <c r="DA34" i="30"/>
  <c r="CZ34" i="30"/>
  <c r="CY34" i="30"/>
  <c r="CX34" i="30"/>
  <c r="CW34" i="30"/>
  <c r="CV34" i="30"/>
  <c r="CU34" i="30"/>
  <c r="CT34" i="30"/>
  <c r="CS34" i="30"/>
  <c r="CR34" i="30"/>
  <c r="CQ34" i="30"/>
  <c r="CP34" i="30"/>
  <c r="CO34" i="30"/>
  <c r="CN34" i="30"/>
  <c r="CM34" i="30"/>
  <c r="CL34" i="30"/>
  <c r="CK34" i="30"/>
  <c r="CJ34" i="30"/>
  <c r="CI34" i="30"/>
  <c r="CH34" i="30"/>
  <c r="CG34" i="30"/>
  <c r="CF34" i="30"/>
  <c r="CE34" i="30"/>
  <c r="CD34" i="30"/>
  <c r="CC34" i="30"/>
  <c r="CB34" i="30"/>
  <c r="CA34" i="30"/>
  <c r="BZ34" i="30"/>
  <c r="BY34" i="30"/>
  <c r="BX34" i="30"/>
  <c r="BW34" i="30"/>
  <c r="BV34" i="30"/>
  <c r="BU34" i="30"/>
  <c r="BT34" i="30"/>
  <c r="BS34" i="30"/>
  <c r="BR34" i="30"/>
  <c r="BQ34" i="30"/>
  <c r="BP34" i="30"/>
  <c r="BO34" i="30"/>
  <c r="BN34" i="30"/>
  <c r="BM34" i="30"/>
  <c r="BL34" i="30"/>
  <c r="BK34" i="30"/>
  <c r="BJ34" i="30"/>
  <c r="BI34" i="30"/>
  <c r="BH34" i="30"/>
  <c r="BG34" i="30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P34" i="30"/>
  <c r="J34" i="30"/>
  <c r="I34" i="30"/>
  <c r="C34" i="30"/>
  <c r="B34" i="30"/>
  <c r="EX33" i="30"/>
  <c r="EW33" i="30"/>
  <c r="EV33" i="30"/>
  <c r="EU33" i="30"/>
  <c r="ET33" i="30"/>
  <c r="ES33" i="30"/>
  <c r="ER33" i="30"/>
  <c r="DV33" i="30"/>
  <c r="DU33" i="30"/>
  <c r="DT33" i="30"/>
  <c r="DS33" i="30"/>
  <c r="DR33" i="30"/>
  <c r="DQ33" i="30"/>
  <c r="DP33" i="30"/>
  <c r="DK33" i="30"/>
  <c r="DJ33" i="30"/>
  <c r="DI33" i="30"/>
  <c r="DH33" i="30"/>
  <c r="DG33" i="30"/>
  <c r="DF33" i="30"/>
  <c r="DE33" i="30"/>
  <c r="DD33" i="30"/>
  <c r="DC33" i="30"/>
  <c r="DB33" i="30"/>
  <c r="DA33" i="30"/>
  <c r="CZ33" i="30"/>
  <c r="CY33" i="30"/>
  <c r="CX33" i="30"/>
  <c r="CW33" i="30"/>
  <c r="CV33" i="30"/>
  <c r="CU33" i="30"/>
  <c r="CT33" i="30"/>
  <c r="CS33" i="30"/>
  <c r="CR33" i="30"/>
  <c r="CQ33" i="30"/>
  <c r="CP33" i="30"/>
  <c r="CO33" i="30"/>
  <c r="CN33" i="30"/>
  <c r="CM33" i="30"/>
  <c r="CL33" i="30"/>
  <c r="CK33" i="30"/>
  <c r="CJ33" i="30"/>
  <c r="CI33" i="30"/>
  <c r="CH33" i="30"/>
  <c r="CG33" i="30"/>
  <c r="CF33" i="30"/>
  <c r="CE33" i="30"/>
  <c r="CD33" i="30"/>
  <c r="CC33" i="30"/>
  <c r="CB33" i="30"/>
  <c r="CA33" i="30"/>
  <c r="BZ33" i="30"/>
  <c r="BY33" i="30"/>
  <c r="BX33" i="30"/>
  <c r="BW33" i="30"/>
  <c r="BV33" i="30"/>
  <c r="BU33" i="30"/>
  <c r="BT33" i="30"/>
  <c r="BS33" i="30"/>
  <c r="BR33" i="30"/>
  <c r="BQ33" i="30"/>
  <c r="BP33" i="30"/>
  <c r="BO33" i="30"/>
  <c r="BN33" i="30"/>
  <c r="BM33" i="30"/>
  <c r="BL33" i="30"/>
  <c r="BK33" i="30"/>
  <c r="BJ33" i="30"/>
  <c r="BI33" i="30"/>
  <c r="BH33" i="30"/>
  <c r="BG33" i="30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F33" i="30"/>
  <c r="P33" i="30"/>
  <c r="J33" i="30"/>
  <c r="I33" i="30"/>
  <c r="C33" i="30"/>
  <c r="B33" i="30"/>
  <c r="EX32" i="30"/>
  <c r="EW32" i="30"/>
  <c r="EV32" i="30"/>
  <c r="EU32" i="30"/>
  <c r="ET32" i="30"/>
  <c r="ES32" i="30"/>
  <c r="ER32" i="30"/>
  <c r="DV32" i="30"/>
  <c r="DU32" i="30"/>
  <c r="DT32" i="30"/>
  <c r="DS32" i="30"/>
  <c r="DR32" i="30"/>
  <c r="DQ32" i="30"/>
  <c r="DP32" i="30"/>
  <c r="DK32" i="30"/>
  <c r="DJ32" i="30"/>
  <c r="DI32" i="30"/>
  <c r="DH32" i="30"/>
  <c r="DG32" i="30"/>
  <c r="DF32" i="30"/>
  <c r="DE32" i="30"/>
  <c r="DD32" i="30"/>
  <c r="DC32" i="30"/>
  <c r="DB32" i="30"/>
  <c r="DA32" i="30"/>
  <c r="CZ32" i="30"/>
  <c r="CY32" i="30"/>
  <c r="CX32" i="30"/>
  <c r="CW32" i="30"/>
  <c r="CV32" i="30"/>
  <c r="CU32" i="30"/>
  <c r="CT32" i="30"/>
  <c r="CS32" i="30"/>
  <c r="CR32" i="30"/>
  <c r="CQ32" i="30"/>
  <c r="CP32" i="30"/>
  <c r="CO32" i="30"/>
  <c r="CN32" i="30"/>
  <c r="CM32" i="30"/>
  <c r="CL32" i="30"/>
  <c r="CK32" i="30"/>
  <c r="CJ32" i="30"/>
  <c r="CI32" i="30"/>
  <c r="CH32" i="30"/>
  <c r="CG32" i="30"/>
  <c r="CF32" i="30"/>
  <c r="CE32" i="30"/>
  <c r="CD32" i="30"/>
  <c r="CC32" i="30"/>
  <c r="CB32" i="30"/>
  <c r="CA32" i="30"/>
  <c r="BZ32" i="30"/>
  <c r="BY32" i="30"/>
  <c r="BX32" i="30"/>
  <c r="BW32" i="30"/>
  <c r="BV32" i="30"/>
  <c r="BU32" i="30"/>
  <c r="BT32" i="30"/>
  <c r="BS32" i="30"/>
  <c r="BR32" i="30"/>
  <c r="BQ32" i="30"/>
  <c r="BP32" i="30"/>
  <c r="BO32" i="30"/>
  <c r="BN32" i="30"/>
  <c r="BM32" i="30"/>
  <c r="BL32" i="30"/>
  <c r="BK32" i="30"/>
  <c r="BJ32" i="30"/>
  <c r="BI32" i="30"/>
  <c r="BH32" i="30"/>
  <c r="BG32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P32" i="30"/>
  <c r="J32" i="30"/>
  <c r="I32" i="30"/>
  <c r="C32" i="30"/>
  <c r="B32" i="30"/>
  <c r="DK31" i="30"/>
  <c r="DJ31" i="30"/>
  <c r="DI31" i="30"/>
  <c r="DH31" i="30"/>
  <c r="DG31" i="30"/>
  <c r="DF31" i="30"/>
  <c r="DE31" i="30"/>
  <c r="DD31" i="30"/>
  <c r="DC31" i="30"/>
  <c r="DB31" i="30"/>
  <c r="DA31" i="30"/>
  <c r="CZ31" i="30"/>
  <c r="CY31" i="30"/>
  <c r="CX31" i="30"/>
  <c r="CW31" i="30"/>
  <c r="CV31" i="30"/>
  <c r="CU31" i="30"/>
  <c r="CT31" i="30"/>
  <c r="CS31" i="30"/>
  <c r="CR31" i="30"/>
  <c r="CQ31" i="30"/>
  <c r="CP31" i="30"/>
  <c r="CO31" i="30"/>
  <c r="CN31" i="30"/>
  <c r="CM31" i="30"/>
  <c r="CL31" i="30"/>
  <c r="CK31" i="30"/>
  <c r="CJ31" i="30"/>
  <c r="CI31" i="30"/>
  <c r="CH31" i="30"/>
  <c r="CG31" i="30"/>
  <c r="CF31" i="30"/>
  <c r="CE31" i="30"/>
  <c r="CD31" i="30"/>
  <c r="CC31" i="30"/>
  <c r="CB31" i="30"/>
  <c r="CA31" i="30"/>
  <c r="BZ31" i="30"/>
  <c r="BY31" i="30"/>
  <c r="BX31" i="30"/>
  <c r="BW31" i="30"/>
  <c r="BV31" i="30"/>
  <c r="BU31" i="30"/>
  <c r="BT31" i="30"/>
  <c r="BS31" i="30"/>
  <c r="BR31" i="30"/>
  <c r="BQ31" i="30"/>
  <c r="BP31" i="30"/>
  <c r="BO31" i="30"/>
  <c r="BN31" i="30"/>
  <c r="BM31" i="30"/>
  <c r="BL31" i="30"/>
  <c r="BK31" i="30"/>
  <c r="BJ31" i="30"/>
  <c r="BI31" i="30"/>
  <c r="BH31" i="30"/>
  <c r="BG31" i="30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F31" i="30"/>
  <c r="P31" i="30"/>
  <c r="J31" i="30"/>
  <c r="I31" i="30"/>
  <c r="C31" i="30"/>
  <c r="B31" i="30"/>
  <c r="EX30" i="30"/>
  <c r="EW30" i="30"/>
  <c r="EV30" i="30"/>
  <c r="EU30" i="30"/>
  <c r="ET30" i="30"/>
  <c r="ES30" i="30"/>
  <c r="ER30" i="30"/>
  <c r="DV30" i="30"/>
  <c r="DU30" i="30"/>
  <c r="DT30" i="30"/>
  <c r="DS30" i="30"/>
  <c r="DR30" i="30"/>
  <c r="DQ30" i="30"/>
  <c r="DP30" i="30"/>
  <c r="DK30" i="30"/>
  <c r="DJ30" i="30"/>
  <c r="DI30" i="30"/>
  <c r="DH30" i="30"/>
  <c r="DG30" i="30"/>
  <c r="DF30" i="30"/>
  <c r="DE30" i="30"/>
  <c r="DD30" i="30"/>
  <c r="DC30" i="30"/>
  <c r="DB30" i="30"/>
  <c r="DA30" i="30"/>
  <c r="CZ30" i="30"/>
  <c r="CY30" i="30"/>
  <c r="CX30" i="30"/>
  <c r="CW30" i="30"/>
  <c r="CV30" i="30"/>
  <c r="CU30" i="30"/>
  <c r="CT30" i="30"/>
  <c r="CS30" i="30"/>
  <c r="CR30" i="30"/>
  <c r="CQ30" i="30"/>
  <c r="CP30" i="30"/>
  <c r="CO30" i="30"/>
  <c r="CN30" i="30"/>
  <c r="CM30" i="30"/>
  <c r="CL30" i="30"/>
  <c r="CK30" i="30"/>
  <c r="CJ30" i="30"/>
  <c r="CI30" i="30"/>
  <c r="CH30" i="30"/>
  <c r="CG30" i="30"/>
  <c r="CF30" i="30"/>
  <c r="CE30" i="30"/>
  <c r="CD30" i="30"/>
  <c r="CC30" i="30"/>
  <c r="CB30" i="30"/>
  <c r="CA30" i="30"/>
  <c r="BZ30" i="30"/>
  <c r="BY30" i="30"/>
  <c r="BX30" i="30"/>
  <c r="BW30" i="30"/>
  <c r="BV30" i="30"/>
  <c r="BU30" i="30"/>
  <c r="BT30" i="30"/>
  <c r="BS30" i="30"/>
  <c r="BR30" i="30"/>
  <c r="BQ30" i="30"/>
  <c r="BP30" i="30"/>
  <c r="BO30" i="30"/>
  <c r="BN30" i="30"/>
  <c r="BM30" i="30"/>
  <c r="BL30" i="30"/>
  <c r="BK30" i="30"/>
  <c r="BJ30" i="30"/>
  <c r="BI30" i="30"/>
  <c r="BH30" i="30"/>
  <c r="BG30" i="30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F30" i="30"/>
  <c r="P30" i="30"/>
  <c r="J30" i="30"/>
  <c r="I30" i="30"/>
  <c r="C30" i="30"/>
  <c r="B30" i="30"/>
  <c r="DK29" i="30"/>
  <c r="DJ29" i="30"/>
  <c r="DI29" i="30"/>
  <c r="DH29" i="30"/>
  <c r="DG29" i="30"/>
  <c r="DF29" i="30"/>
  <c r="DE29" i="30"/>
  <c r="DD29" i="30"/>
  <c r="DC29" i="30"/>
  <c r="DB29" i="30"/>
  <c r="DA29" i="30"/>
  <c r="CZ29" i="30"/>
  <c r="CY29" i="30"/>
  <c r="CX29" i="30"/>
  <c r="CW29" i="30"/>
  <c r="CV29" i="30"/>
  <c r="CU29" i="30"/>
  <c r="CT29" i="30"/>
  <c r="CS29" i="30"/>
  <c r="CR29" i="30"/>
  <c r="CQ29" i="30"/>
  <c r="CP29" i="30"/>
  <c r="CO29" i="30"/>
  <c r="CN29" i="30"/>
  <c r="CM29" i="30"/>
  <c r="CL29" i="30"/>
  <c r="CK29" i="30"/>
  <c r="CJ29" i="30"/>
  <c r="CI29" i="30"/>
  <c r="CH29" i="30"/>
  <c r="CG29" i="30"/>
  <c r="CF29" i="30"/>
  <c r="CE29" i="30"/>
  <c r="CD29" i="30"/>
  <c r="CC29" i="30"/>
  <c r="CB29" i="30"/>
  <c r="CA29" i="30"/>
  <c r="BZ29" i="30"/>
  <c r="BY29" i="30"/>
  <c r="BX29" i="30"/>
  <c r="BW29" i="30"/>
  <c r="BV29" i="30"/>
  <c r="BU29" i="30"/>
  <c r="BT29" i="30"/>
  <c r="BS29" i="30"/>
  <c r="BR29" i="30"/>
  <c r="BQ29" i="30"/>
  <c r="BP29" i="30"/>
  <c r="BO29" i="30"/>
  <c r="BN29" i="30"/>
  <c r="BM29" i="30"/>
  <c r="BL29" i="30"/>
  <c r="BK29" i="30"/>
  <c r="BJ29" i="30"/>
  <c r="BI29" i="30"/>
  <c r="BH29" i="30"/>
  <c r="BG29" i="30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F29" i="30"/>
  <c r="P29" i="30"/>
  <c r="J29" i="30"/>
  <c r="I29" i="30"/>
  <c r="C29" i="30"/>
  <c r="B29" i="30"/>
  <c r="EX40" i="30"/>
  <c r="EW40" i="30"/>
  <c r="EV40" i="30"/>
  <c r="EU40" i="30"/>
  <c r="ET40" i="30"/>
  <c r="ES40" i="30"/>
  <c r="ER40" i="30"/>
  <c r="DV40" i="30"/>
  <c r="DU40" i="30"/>
  <c r="DT40" i="30"/>
  <c r="DS40" i="30"/>
  <c r="DR40" i="30"/>
  <c r="DQ40" i="30"/>
  <c r="DP40" i="30"/>
  <c r="DK40" i="30"/>
  <c r="DJ40" i="30"/>
  <c r="DI40" i="30"/>
  <c r="DH40" i="30"/>
  <c r="DG40" i="30"/>
  <c r="DF40" i="30"/>
  <c r="DE40" i="30"/>
  <c r="DD40" i="30"/>
  <c r="DC40" i="30"/>
  <c r="DB40" i="30"/>
  <c r="DA40" i="30"/>
  <c r="CZ40" i="30"/>
  <c r="CY40" i="30"/>
  <c r="CX40" i="30"/>
  <c r="CW40" i="30"/>
  <c r="CV40" i="30"/>
  <c r="CU40" i="30"/>
  <c r="CT40" i="30"/>
  <c r="CS40" i="30"/>
  <c r="CR40" i="30"/>
  <c r="CQ40" i="30"/>
  <c r="CP40" i="30"/>
  <c r="CO40" i="30"/>
  <c r="CN40" i="30"/>
  <c r="CM40" i="30"/>
  <c r="CL40" i="30"/>
  <c r="CK40" i="30"/>
  <c r="CJ40" i="30"/>
  <c r="CI40" i="30"/>
  <c r="CH40" i="30"/>
  <c r="CG40" i="30"/>
  <c r="CF40" i="30"/>
  <c r="CE40" i="30"/>
  <c r="CD40" i="30"/>
  <c r="CC40" i="30"/>
  <c r="CB40" i="30"/>
  <c r="CA40" i="30"/>
  <c r="BZ40" i="30"/>
  <c r="BY40" i="30"/>
  <c r="BX40" i="30"/>
  <c r="BW40" i="30"/>
  <c r="BV40" i="30"/>
  <c r="BU40" i="30"/>
  <c r="BT40" i="30"/>
  <c r="BS40" i="30"/>
  <c r="BR40" i="30"/>
  <c r="BQ40" i="30"/>
  <c r="BP40" i="30"/>
  <c r="BO40" i="30"/>
  <c r="BN40" i="30"/>
  <c r="BM40" i="30"/>
  <c r="BL40" i="30"/>
  <c r="BK40" i="30"/>
  <c r="BJ40" i="30"/>
  <c r="BI40" i="30"/>
  <c r="BH40" i="30"/>
  <c r="BG40" i="30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F40" i="30"/>
  <c r="P40" i="30"/>
  <c r="J40" i="30"/>
  <c r="I40" i="30"/>
  <c r="C40" i="30"/>
  <c r="B40" i="30"/>
  <c r="EX39" i="30"/>
  <c r="EW39" i="30"/>
  <c r="EV39" i="30"/>
  <c r="EU39" i="30"/>
  <c r="ET39" i="30"/>
  <c r="ES39" i="30"/>
  <c r="ER39" i="30"/>
  <c r="DV39" i="30"/>
  <c r="DU39" i="30"/>
  <c r="DT39" i="30"/>
  <c r="DS39" i="30"/>
  <c r="DR39" i="30"/>
  <c r="DQ39" i="30"/>
  <c r="DP39" i="30"/>
  <c r="DK39" i="30"/>
  <c r="DJ39" i="30"/>
  <c r="DI39" i="30"/>
  <c r="DH39" i="30"/>
  <c r="DG39" i="30"/>
  <c r="DF39" i="30"/>
  <c r="DE39" i="30"/>
  <c r="DD39" i="30"/>
  <c r="DC39" i="30"/>
  <c r="DB39" i="30"/>
  <c r="DA39" i="30"/>
  <c r="CZ39" i="30"/>
  <c r="CY39" i="30"/>
  <c r="CX39" i="30"/>
  <c r="CW39" i="30"/>
  <c r="CV39" i="30"/>
  <c r="CU39" i="30"/>
  <c r="CT39" i="30"/>
  <c r="CS39" i="30"/>
  <c r="CR39" i="30"/>
  <c r="CQ39" i="30"/>
  <c r="CP39" i="30"/>
  <c r="CO39" i="30"/>
  <c r="CN39" i="30"/>
  <c r="CM39" i="30"/>
  <c r="CL39" i="30"/>
  <c r="CK39" i="30"/>
  <c r="CJ39" i="30"/>
  <c r="CI39" i="30"/>
  <c r="CH39" i="30"/>
  <c r="CG39" i="30"/>
  <c r="CF39" i="30"/>
  <c r="CE39" i="30"/>
  <c r="CD39" i="30"/>
  <c r="CC39" i="30"/>
  <c r="CB39" i="30"/>
  <c r="CA39" i="30"/>
  <c r="BZ39" i="30"/>
  <c r="BY39" i="30"/>
  <c r="BX39" i="30"/>
  <c r="BW39" i="30"/>
  <c r="BV39" i="30"/>
  <c r="BU39" i="30"/>
  <c r="BT39" i="30"/>
  <c r="BS39" i="30"/>
  <c r="BR39" i="30"/>
  <c r="BQ39" i="30"/>
  <c r="BP39" i="30"/>
  <c r="BO39" i="30"/>
  <c r="BN39" i="30"/>
  <c r="BM39" i="30"/>
  <c r="BL39" i="30"/>
  <c r="BK39" i="30"/>
  <c r="BJ39" i="30"/>
  <c r="BI39" i="30"/>
  <c r="BH39" i="30"/>
  <c r="BG39" i="30"/>
  <c r="BF39" i="30"/>
  <c r="BE39" i="30"/>
  <c r="BD39" i="30"/>
  <c r="BC39" i="30"/>
  <c r="BB39" i="30"/>
  <c r="BA39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F39" i="30"/>
  <c r="P39" i="30"/>
  <c r="J39" i="30"/>
  <c r="I39" i="30"/>
  <c r="C39" i="30"/>
  <c r="B39" i="30"/>
  <c r="EX38" i="30"/>
  <c r="EW38" i="30"/>
  <c r="EV38" i="30"/>
  <c r="EU38" i="30"/>
  <c r="ET38" i="30"/>
  <c r="ES38" i="30"/>
  <c r="ER38" i="30"/>
  <c r="DV38" i="30"/>
  <c r="DU38" i="30"/>
  <c r="DT38" i="30"/>
  <c r="DS38" i="30"/>
  <c r="DR38" i="30"/>
  <c r="DQ38" i="30"/>
  <c r="DP38" i="30"/>
  <c r="DK38" i="30"/>
  <c r="DJ38" i="30"/>
  <c r="DI38" i="30"/>
  <c r="DH38" i="30"/>
  <c r="DG38" i="30"/>
  <c r="DF38" i="30"/>
  <c r="DE38" i="30"/>
  <c r="DD38" i="30"/>
  <c r="DC38" i="30"/>
  <c r="DB38" i="30"/>
  <c r="DA38" i="30"/>
  <c r="CZ38" i="30"/>
  <c r="CY38" i="30"/>
  <c r="CX38" i="30"/>
  <c r="CW38" i="30"/>
  <c r="CV38" i="30"/>
  <c r="CU38" i="30"/>
  <c r="CT38" i="30"/>
  <c r="CS38" i="30"/>
  <c r="CR38" i="30"/>
  <c r="CQ38" i="30"/>
  <c r="CP38" i="30"/>
  <c r="CO38" i="30"/>
  <c r="CN38" i="30"/>
  <c r="CM38" i="30"/>
  <c r="CL38" i="30"/>
  <c r="CK38" i="30"/>
  <c r="CJ38" i="30"/>
  <c r="CI38" i="30"/>
  <c r="CH38" i="30"/>
  <c r="CG38" i="30"/>
  <c r="CF38" i="30"/>
  <c r="CE38" i="30"/>
  <c r="CD38" i="30"/>
  <c r="CC38" i="30"/>
  <c r="CB38" i="30"/>
  <c r="CA38" i="30"/>
  <c r="BZ38" i="30"/>
  <c r="BY38" i="30"/>
  <c r="BX38" i="30"/>
  <c r="BW38" i="30"/>
  <c r="BV38" i="30"/>
  <c r="BU38" i="30"/>
  <c r="BT38" i="30"/>
  <c r="BS38" i="30"/>
  <c r="BR38" i="30"/>
  <c r="BQ38" i="30"/>
  <c r="BP38" i="30"/>
  <c r="BO38" i="30"/>
  <c r="BN38" i="30"/>
  <c r="BM38" i="30"/>
  <c r="BL38" i="30"/>
  <c r="BK38" i="30"/>
  <c r="BJ38" i="30"/>
  <c r="BI38" i="30"/>
  <c r="BH38" i="30"/>
  <c r="BG38" i="30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P38" i="30"/>
  <c r="J38" i="30"/>
  <c r="I38" i="30"/>
  <c r="C38" i="30"/>
  <c r="B38" i="30"/>
  <c r="EX37" i="30"/>
  <c r="EW37" i="30"/>
  <c r="EV37" i="30"/>
  <c r="EU37" i="30"/>
  <c r="ET37" i="30"/>
  <c r="ES37" i="30"/>
  <c r="ER37" i="30"/>
  <c r="DV37" i="30"/>
  <c r="DU37" i="30"/>
  <c r="DT37" i="30"/>
  <c r="DS37" i="30"/>
  <c r="DR37" i="30"/>
  <c r="DQ37" i="30"/>
  <c r="DP37" i="30"/>
  <c r="DK37" i="30"/>
  <c r="DJ37" i="30"/>
  <c r="DI37" i="30"/>
  <c r="DH37" i="30"/>
  <c r="DG37" i="30"/>
  <c r="DF37" i="30"/>
  <c r="DE37" i="30"/>
  <c r="DD37" i="30"/>
  <c r="DC37" i="30"/>
  <c r="DB37" i="30"/>
  <c r="DA37" i="30"/>
  <c r="CZ37" i="30"/>
  <c r="CY37" i="30"/>
  <c r="CX37" i="30"/>
  <c r="CW37" i="30"/>
  <c r="CV37" i="30"/>
  <c r="CU37" i="30"/>
  <c r="CT37" i="30"/>
  <c r="CS37" i="30"/>
  <c r="CR37" i="30"/>
  <c r="CQ37" i="30"/>
  <c r="CP37" i="30"/>
  <c r="CO37" i="30"/>
  <c r="CN37" i="30"/>
  <c r="CM37" i="30"/>
  <c r="CL37" i="30"/>
  <c r="CK37" i="30"/>
  <c r="CJ37" i="30"/>
  <c r="CI37" i="30"/>
  <c r="CH37" i="30"/>
  <c r="CG37" i="30"/>
  <c r="CF37" i="30"/>
  <c r="CE37" i="30"/>
  <c r="CD37" i="30"/>
  <c r="CC37" i="30"/>
  <c r="CB37" i="30"/>
  <c r="CA37" i="30"/>
  <c r="BZ37" i="30"/>
  <c r="BY37" i="30"/>
  <c r="BX37" i="30"/>
  <c r="BW37" i="30"/>
  <c r="BV37" i="30"/>
  <c r="BU37" i="30"/>
  <c r="BT37" i="30"/>
  <c r="BS37" i="30"/>
  <c r="BR37" i="30"/>
  <c r="BQ37" i="30"/>
  <c r="BP37" i="30"/>
  <c r="BO37" i="30"/>
  <c r="BN37" i="30"/>
  <c r="BM37" i="30"/>
  <c r="BL37" i="30"/>
  <c r="BK37" i="30"/>
  <c r="BJ37" i="30"/>
  <c r="BI37" i="30"/>
  <c r="BH37" i="30"/>
  <c r="BG37" i="30"/>
  <c r="BF37" i="30"/>
  <c r="BE37" i="30"/>
  <c r="BD37" i="30"/>
  <c r="BC37" i="30"/>
  <c r="BB37" i="30"/>
  <c r="BA37" i="30"/>
  <c r="AZ37" i="30"/>
  <c r="AY37" i="30"/>
  <c r="AX37" i="30"/>
  <c r="AW37" i="30"/>
  <c r="AV37" i="30"/>
  <c r="AU37" i="30"/>
  <c r="AT37" i="30"/>
  <c r="AS37" i="30"/>
  <c r="AR37" i="30"/>
  <c r="AQ37" i="30"/>
  <c r="AP37" i="30"/>
  <c r="AO37" i="30"/>
  <c r="AN37" i="30"/>
  <c r="AM37" i="30"/>
  <c r="AL37" i="30"/>
  <c r="AK37" i="30"/>
  <c r="AJ37" i="30"/>
  <c r="AI37" i="30"/>
  <c r="AH37" i="30"/>
  <c r="AG37" i="30"/>
  <c r="AF37" i="30"/>
  <c r="P37" i="30"/>
  <c r="J37" i="30"/>
  <c r="I37" i="30"/>
  <c r="C37" i="30"/>
  <c r="B37" i="30"/>
  <c r="DK36" i="30"/>
  <c r="DJ36" i="30"/>
  <c r="DI36" i="30"/>
  <c r="DH36" i="30"/>
  <c r="DG36" i="30"/>
  <c r="DF36" i="30"/>
  <c r="DE36" i="30"/>
  <c r="DD36" i="30"/>
  <c r="DC36" i="30"/>
  <c r="DB36" i="30"/>
  <c r="DA36" i="30"/>
  <c r="CZ36" i="30"/>
  <c r="CY36" i="30"/>
  <c r="CX36" i="30"/>
  <c r="CW36" i="30"/>
  <c r="CV36" i="30"/>
  <c r="CU36" i="30"/>
  <c r="CT36" i="30"/>
  <c r="CS36" i="30"/>
  <c r="CR36" i="30"/>
  <c r="CQ36" i="30"/>
  <c r="CP36" i="30"/>
  <c r="CO36" i="30"/>
  <c r="CN36" i="30"/>
  <c r="CM36" i="30"/>
  <c r="CL36" i="30"/>
  <c r="CK36" i="30"/>
  <c r="CJ36" i="30"/>
  <c r="CI36" i="30"/>
  <c r="CH36" i="30"/>
  <c r="CG36" i="30"/>
  <c r="CF36" i="30"/>
  <c r="CE36" i="30"/>
  <c r="CD36" i="30"/>
  <c r="CC36" i="30"/>
  <c r="CB36" i="30"/>
  <c r="CA36" i="30"/>
  <c r="BZ36" i="30"/>
  <c r="BY36" i="30"/>
  <c r="BX36" i="30"/>
  <c r="BW36" i="30"/>
  <c r="BV36" i="30"/>
  <c r="BU36" i="30"/>
  <c r="BT36" i="30"/>
  <c r="BS36" i="30"/>
  <c r="BR36" i="30"/>
  <c r="BQ36" i="30"/>
  <c r="BP36" i="30"/>
  <c r="BO36" i="30"/>
  <c r="BN36" i="30"/>
  <c r="BM36" i="30"/>
  <c r="BL36" i="30"/>
  <c r="BK36" i="30"/>
  <c r="BJ36" i="30"/>
  <c r="BI36" i="30"/>
  <c r="BH36" i="30"/>
  <c r="BG36" i="30"/>
  <c r="BF36" i="30"/>
  <c r="BE36" i="30"/>
  <c r="BD36" i="30"/>
  <c r="BC36" i="30"/>
  <c r="BB36" i="30"/>
  <c r="BA36" i="30"/>
  <c r="AZ36" i="30"/>
  <c r="AY36" i="30"/>
  <c r="AX36" i="30"/>
  <c r="AW36" i="30"/>
  <c r="AV36" i="30"/>
  <c r="AU36" i="30"/>
  <c r="AT36" i="30"/>
  <c r="AS36" i="30"/>
  <c r="AR36" i="30"/>
  <c r="AQ36" i="30"/>
  <c r="AP36" i="30"/>
  <c r="AO36" i="30"/>
  <c r="AN36" i="30"/>
  <c r="AM36" i="30"/>
  <c r="AL36" i="30"/>
  <c r="AK36" i="30"/>
  <c r="AJ36" i="30"/>
  <c r="AI36" i="30"/>
  <c r="AH36" i="30"/>
  <c r="AG36" i="30"/>
  <c r="AF36" i="30"/>
  <c r="P36" i="30"/>
  <c r="J36" i="30"/>
  <c r="I36" i="30"/>
  <c r="C36" i="30"/>
  <c r="B36" i="30"/>
  <c r="DK35" i="30"/>
  <c r="DJ35" i="30"/>
  <c r="DI35" i="30"/>
  <c r="DH35" i="30"/>
  <c r="DG35" i="30"/>
  <c r="DF35" i="30"/>
  <c r="DE35" i="30"/>
  <c r="DD35" i="30"/>
  <c r="DC35" i="30"/>
  <c r="DB35" i="30"/>
  <c r="DA35" i="30"/>
  <c r="CZ35" i="30"/>
  <c r="CY35" i="30"/>
  <c r="CX35" i="30"/>
  <c r="CW35" i="30"/>
  <c r="CV35" i="30"/>
  <c r="CU35" i="30"/>
  <c r="CT35" i="30"/>
  <c r="CS35" i="30"/>
  <c r="CR35" i="30"/>
  <c r="CQ35" i="30"/>
  <c r="CP35" i="30"/>
  <c r="CO35" i="30"/>
  <c r="CN35" i="30"/>
  <c r="CM35" i="30"/>
  <c r="CL35" i="30"/>
  <c r="CK35" i="30"/>
  <c r="CJ35" i="30"/>
  <c r="CI35" i="30"/>
  <c r="CH35" i="30"/>
  <c r="CG35" i="30"/>
  <c r="CF35" i="30"/>
  <c r="CE35" i="30"/>
  <c r="CD35" i="30"/>
  <c r="CC35" i="30"/>
  <c r="CB35" i="30"/>
  <c r="CA35" i="30"/>
  <c r="BZ35" i="30"/>
  <c r="BY35" i="30"/>
  <c r="BX35" i="30"/>
  <c r="BW35" i="30"/>
  <c r="BV35" i="30"/>
  <c r="BU35" i="30"/>
  <c r="BT35" i="30"/>
  <c r="BS35" i="30"/>
  <c r="BR35" i="30"/>
  <c r="BQ35" i="30"/>
  <c r="BP35" i="30"/>
  <c r="BO35" i="30"/>
  <c r="BN35" i="30"/>
  <c r="BM35" i="30"/>
  <c r="BL35" i="30"/>
  <c r="BK35" i="30"/>
  <c r="BJ35" i="30"/>
  <c r="BI35" i="30"/>
  <c r="BH35" i="30"/>
  <c r="BG35" i="30"/>
  <c r="BF35" i="30"/>
  <c r="BE35" i="30"/>
  <c r="BD35" i="30"/>
  <c r="BC35" i="30"/>
  <c r="BB35" i="30"/>
  <c r="BA35" i="30"/>
  <c r="AZ35" i="30"/>
  <c r="AY35" i="30"/>
  <c r="AX35" i="30"/>
  <c r="AW35" i="30"/>
  <c r="AV35" i="30"/>
  <c r="AU35" i="30"/>
  <c r="AT35" i="30"/>
  <c r="AS35" i="30"/>
  <c r="AR35" i="30"/>
  <c r="AQ35" i="30"/>
  <c r="AP35" i="30"/>
  <c r="AO35" i="30"/>
  <c r="AN35" i="30"/>
  <c r="AM35" i="30"/>
  <c r="AL35" i="30"/>
  <c r="AK35" i="30"/>
  <c r="AJ35" i="30"/>
  <c r="AI35" i="30"/>
  <c r="AH35" i="30"/>
  <c r="AG35" i="30"/>
  <c r="AF35" i="30"/>
  <c r="P35" i="30"/>
  <c r="J35" i="30"/>
  <c r="I35" i="30"/>
  <c r="C35" i="30"/>
  <c r="B35" i="30"/>
  <c r="DK46" i="30"/>
  <c r="DJ46" i="30"/>
  <c r="DI46" i="30"/>
  <c r="DH46" i="30"/>
  <c r="DG46" i="30"/>
  <c r="DF46" i="30"/>
  <c r="DE46" i="30"/>
  <c r="DD46" i="30"/>
  <c r="DC46" i="30"/>
  <c r="DB46" i="30"/>
  <c r="DA46" i="30"/>
  <c r="CZ46" i="30"/>
  <c r="CY46" i="30"/>
  <c r="CX46" i="30"/>
  <c r="CW46" i="30"/>
  <c r="CV46" i="30"/>
  <c r="CU46" i="30"/>
  <c r="CT46" i="30"/>
  <c r="CS46" i="30"/>
  <c r="CR46" i="30"/>
  <c r="CQ46" i="30"/>
  <c r="CP46" i="30"/>
  <c r="CO46" i="30"/>
  <c r="CN46" i="30"/>
  <c r="CM46" i="30"/>
  <c r="CL46" i="30"/>
  <c r="CK46" i="30"/>
  <c r="CJ46" i="30"/>
  <c r="CI46" i="30"/>
  <c r="CH46" i="30"/>
  <c r="CG46" i="30"/>
  <c r="CF46" i="30"/>
  <c r="CE46" i="30"/>
  <c r="CD46" i="30"/>
  <c r="CC46" i="30"/>
  <c r="CB46" i="30"/>
  <c r="CA46" i="30"/>
  <c r="BZ46" i="30"/>
  <c r="BY46" i="30"/>
  <c r="BX46" i="30"/>
  <c r="BW46" i="30"/>
  <c r="BV46" i="30"/>
  <c r="BU46" i="30"/>
  <c r="BT46" i="30"/>
  <c r="BS46" i="30"/>
  <c r="BR46" i="30"/>
  <c r="BQ46" i="30"/>
  <c r="BP46" i="30"/>
  <c r="BO46" i="30"/>
  <c r="BN46" i="30"/>
  <c r="BM46" i="30"/>
  <c r="BL46" i="30"/>
  <c r="BK46" i="30"/>
  <c r="BJ46" i="30"/>
  <c r="BI46" i="30"/>
  <c r="BH46" i="30"/>
  <c r="BG46" i="30"/>
  <c r="BF46" i="30"/>
  <c r="BE46" i="30"/>
  <c r="BD46" i="30"/>
  <c r="BC46" i="30"/>
  <c r="BB46" i="30"/>
  <c r="BA46" i="30"/>
  <c r="AZ46" i="30"/>
  <c r="AY46" i="30"/>
  <c r="AX46" i="30"/>
  <c r="AW46" i="30"/>
  <c r="AV46" i="30"/>
  <c r="AU46" i="30"/>
  <c r="AT46" i="30"/>
  <c r="AS46" i="30"/>
  <c r="AR46" i="30"/>
  <c r="AQ46" i="30"/>
  <c r="AP46" i="30"/>
  <c r="AO46" i="30"/>
  <c r="AN46" i="30"/>
  <c r="AM46" i="30"/>
  <c r="AL46" i="30"/>
  <c r="AK46" i="30"/>
  <c r="AJ46" i="30"/>
  <c r="AI46" i="30"/>
  <c r="AH46" i="30"/>
  <c r="AG46" i="30"/>
  <c r="AF46" i="30"/>
  <c r="P46" i="30"/>
  <c r="J46" i="30"/>
  <c r="I46" i="30"/>
  <c r="C46" i="30"/>
  <c r="B46" i="30"/>
  <c r="EX45" i="30"/>
  <c r="EW45" i="30"/>
  <c r="EV45" i="30"/>
  <c r="EU45" i="30"/>
  <c r="ET45" i="30"/>
  <c r="ES45" i="30"/>
  <c r="ER45" i="30"/>
  <c r="DV45" i="30"/>
  <c r="DU45" i="30"/>
  <c r="DT45" i="30"/>
  <c r="DS45" i="30"/>
  <c r="DR45" i="30"/>
  <c r="DQ45" i="30"/>
  <c r="DP45" i="30"/>
  <c r="DK45" i="30"/>
  <c r="DJ45" i="30"/>
  <c r="DI45" i="30"/>
  <c r="DH45" i="30"/>
  <c r="DG45" i="30"/>
  <c r="DF45" i="30"/>
  <c r="DE45" i="30"/>
  <c r="DD45" i="30"/>
  <c r="DC45" i="30"/>
  <c r="DB45" i="30"/>
  <c r="DA45" i="30"/>
  <c r="CZ45" i="30"/>
  <c r="CY45" i="30"/>
  <c r="CX45" i="30"/>
  <c r="CW45" i="30"/>
  <c r="CV45" i="30"/>
  <c r="CU45" i="30"/>
  <c r="CT45" i="30"/>
  <c r="CS45" i="30"/>
  <c r="CR45" i="30"/>
  <c r="CQ45" i="30"/>
  <c r="CP45" i="30"/>
  <c r="CO45" i="30"/>
  <c r="CN45" i="30"/>
  <c r="CM45" i="30"/>
  <c r="CL45" i="30"/>
  <c r="CK45" i="30"/>
  <c r="CJ45" i="30"/>
  <c r="CI45" i="30"/>
  <c r="CH45" i="30"/>
  <c r="CG45" i="30"/>
  <c r="CF45" i="30"/>
  <c r="CE45" i="30"/>
  <c r="CD45" i="30"/>
  <c r="CC45" i="30"/>
  <c r="CB45" i="30"/>
  <c r="CA45" i="30"/>
  <c r="BZ45" i="30"/>
  <c r="BY45" i="30"/>
  <c r="BX45" i="30"/>
  <c r="BW45" i="30"/>
  <c r="BV45" i="30"/>
  <c r="BU45" i="30"/>
  <c r="BT45" i="30"/>
  <c r="BS45" i="30"/>
  <c r="BR45" i="30"/>
  <c r="BQ45" i="30"/>
  <c r="BP45" i="30"/>
  <c r="BO45" i="30"/>
  <c r="BN45" i="30"/>
  <c r="BM45" i="30"/>
  <c r="BL45" i="30"/>
  <c r="BK45" i="30"/>
  <c r="BJ45" i="30"/>
  <c r="BI45" i="30"/>
  <c r="BH45" i="30"/>
  <c r="BG45" i="30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P45" i="30"/>
  <c r="J45" i="30"/>
  <c r="I45" i="30"/>
  <c r="C45" i="30"/>
  <c r="B45" i="30"/>
  <c r="EX44" i="30"/>
  <c r="EW44" i="30"/>
  <c r="EV44" i="30"/>
  <c r="EU44" i="30"/>
  <c r="ET44" i="30"/>
  <c r="ES44" i="30"/>
  <c r="ER44" i="30"/>
  <c r="DV44" i="30"/>
  <c r="DU44" i="30"/>
  <c r="DT44" i="30"/>
  <c r="DS44" i="30"/>
  <c r="DR44" i="30"/>
  <c r="DQ44" i="30"/>
  <c r="DP44" i="30"/>
  <c r="DK44" i="30"/>
  <c r="DJ44" i="30"/>
  <c r="DI44" i="30"/>
  <c r="DH44" i="30"/>
  <c r="DG44" i="30"/>
  <c r="DF44" i="30"/>
  <c r="DE44" i="30"/>
  <c r="DD44" i="30"/>
  <c r="DC44" i="30"/>
  <c r="DB44" i="30"/>
  <c r="DA44" i="30"/>
  <c r="CZ44" i="30"/>
  <c r="CY44" i="30"/>
  <c r="CX44" i="30"/>
  <c r="CW44" i="30"/>
  <c r="CV44" i="30"/>
  <c r="CU44" i="30"/>
  <c r="CT44" i="30"/>
  <c r="CS44" i="30"/>
  <c r="CR44" i="30"/>
  <c r="CQ44" i="30"/>
  <c r="CP44" i="30"/>
  <c r="CO44" i="30"/>
  <c r="CN44" i="30"/>
  <c r="CM44" i="30"/>
  <c r="CL44" i="30"/>
  <c r="CK44" i="30"/>
  <c r="CJ44" i="30"/>
  <c r="CI44" i="30"/>
  <c r="CH44" i="30"/>
  <c r="CG44" i="30"/>
  <c r="CF44" i="30"/>
  <c r="CE44" i="30"/>
  <c r="CD44" i="30"/>
  <c r="CC44" i="30"/>
  <c r="CB44" i="30"/>
  <c r="CA44" i="30"/>
  <c r="BZ44" i="30"/>
  <c r="BY44" i="30"/>
  <c r="BX44" i="30"/>
  <c r="BW44" i="30"/>
  <c r="BV44" i="30"/>
  <c r="BU44" i="30"/>
  <c r="BT44" i="30"/>
  <c r="BS44" i="30"/>
  <c r="BR44" i="30"/>
  <c r="BQ44" i="30"/>
  <c r="BP44" i="30"/>
  <c r="BO44" i="30"/>
  <c r="BN44" i="30"/>
  <c r="BM44" i="30"/>
  <c r="BL44" i="30"/>
  <c r="BK44" i="30"/>
  <c r="BJ44" i="30"/>
  <c r="BI44" i="30"/>
  <c r="BH44" i="30"/>
  <c r="BG44" i="30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P44" i="30"/>
  <c r="J44" i="30"/>
  <c r="I44" i="30"/>
  <c r="C44" i="30"/>
  <c r="B44" i="30"/>
  <c r="EX43" i="30"/>
  <c r="EW43" i="30"/>
  <c r="EV43" i="30"/>
  <c r="EU43" i="30"/>
  <c r="ET43" i="30"/>
  <c r="ES43" i="30"/>
  <c r="ER43" i="30"/>
  <c r="DV43" i="30"/>
  <c r="DU43" i="30"/>
  <c r="DT43" i="30"/>
  <c r="DS43" i="30"/>
  <c r="DR43" i="30"/>
  <c r="DQ43" i="30"/>
  <c r="DP43" i="30"/>
  <c r="DK43" i="30"/>
  <c r="DJ43" i="30"/>
  <c r="DI43" i="30"/>
  <c r="DH43" i="30"/>
  <c r="DG43" i="30"/>
  <c r="DF43" i="30"/>
  <c r="DE43" i="30"/>
  <c r="DD43" i="30"/>
  <c r="DC43" i="30"/>
  <c r="DB43" i="30"/>
  <c r="DA43" i="30"/>
  <c r="CZ43" i="30"/>
  <c r="CY43" i="30"/>
  <c r="CX43" i="30"/>
  <c r="CW43" i="30"/>
  <c r="CV43" i="30"/>
  <c r="CU43" i="30"/>
  <c r="CT43" i="30"/>
  <c r="CS43" i="30"/>
  <c r="CR43" i="30"/>
  <c r="CQ43" i="30"/>
  <c r="CP43" i="30"/>
  <c r="CO43" i="30"/>
  <c r="CN43" i="30"/>
  <c r="CM43" i="30"/>
  <c r="CL43" i="30"/>
  <c r="CK43" i="30"/>
  <c r="CJ43" i="30"/>
  <c r="CI43" i="30"/>
  <c r="CH43" i="30"/>
  <c r="CG43" i="30"/>
  <c r="CF43" i="30"/>
  <c r="CE43" i="30"/>
  <c r="CD43" i="30"/>
  <c r="CC43" i="30"/>
  <c r="CB43" i="30"/>
  <c r="CA43" i="30"/>
  <c r="BZ43" i="30"/>
  <c r="BY43" i="30"/>
  <c r="BX43" i="30"/>
  <c r="BW43" i="30"/>
  <c r="BV43" i="30"/>
  <c r="BU43" i="30"/>
  <c r="BT43" i="30"/>
  <c r="BS43" i="30"/>
  <c r="BR43" i="30"/>
  <c r="BQ43" i="30"/>
  <c r="BP43" i="30"/>
  <c r="BO43" i="30"/>
  <c r="BN43" i="30"/>
  <c r="BM43" i="30"/>
  <c r="BL43" i="30"/>
  <c r="BK43" i="30"/>
  <c r="BJ43" i="30"/>
  <c r="BI43" i="30"/>
  <c r="BH43" i="30"/>
  <c r="BG43" i="30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P43" i="30"/>
  <c r="J43" i="30"/>
  <c r="I43" i="30"/>
  <c r="C43" i="30"/>
  <c r="B43" i="30"/>
  <c r="EX42" i="30"/>
  <c r="EW42" i="30"/>
  <c r="EV42" i="30"/>
  <c r="EU42" i="30"/>
  <c r="ET42" i="30"/>
  <c r="ES42" i="30"/>
  <c r="ER42" i="30"/>
  <c r="DV42" i="30"/>
  <c r="DU42" i="30"/>
  <c r="DT42" i="30"/>
  <c r="DS42" i="30"/>
  <c r="DR42" i="30"/>
  <c r="DQ42" i="30"/>
  <c r="DP42" i="30"/>
  <c r="DK42" i="30"/>
  <c r="DJ42" i="30"/>
  <c r="DI42" i="30"/>
  <c r="DH42" i="30"/>
  <c r="DG42" i="30"/>
  <c r="DF42" i="30"/>
  <c r="DE42" i="30"/>
  <c r="DD42" i="30"/>
  <c r="DC42" i="30"/>
  <c r="DB42" i="30"/>
  <c r="DA42" i="30"/>
  <c r="CZ42" i="30"/>
  <c r="CY42" i="30"/>
  <c r="CX42" i="30"/>
  <c r="CW42" i="30"/>
  <c r="CV42" i="30"/>
  <c r="CU42" i="30"/>
  <c r="CT42" i="30"/>
  <c r="CS42" i="30"/>
  <c r="CR42" i="30"/>
  <c r="CQ42" i="30"/>
  <c r="CP42" i="30"/>
  <c r="CO42" i="30"/>
  <c r="CN42" i="30"/>
  <c r="CM42" i="30"/>
  <c r="CL42" i="30"/>
  <c r="CK42" i="30"/>
  <c r="CJ42" i="30"/>
  <c r="CI42" i="30"/>
  <c r="CH42" i="30"/>
  <c r="CG42" i="30"/>
  <c r="CF42" i="30"/>
  <c r="CE42" i="30"/>
  <c r="CD42" i="30"/>
  <c r="CC42" i="30"/>
  <c r="CB42" i="30"/>
  <c r="CA42" i="30"/>
  <c r="BZ42" i="30"/>
  <c r="BY42" i="30"/>
  <c r="BX42" i="30"/>
  <c r="BW42" i="30"/>
  <c r="BV42" i="30"/>
  <c r="BU42" i="30"/>
  <c r="BT42" i="30"/>
  <c r="BS42" i="30"/>
  <c r="BR42" i="30"/>
  <c r="BQ42" i="30"/>
  <c r="BP42" i="30"/>
  <c r="BO42" i="30"/>
  <c r="BN42" i="30"/>
  <c r="BM42" i="30"/>
  <c r="BL42" i="30"/>
  <c r="BK42" i="30"/>
  <c r="BJ42" i="30"/>
  <c r="BI42" i="30"/>
  <c r="BH42" i="30"/>
  <c r="BG42" i="30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P42" i="30"/>
  <c r="J42" i="30"/>
  <c r="I42" i="30"/>
  <c r="C42" i="30"/>
  <c r="B42" i="30"/>
  <c r="DK41" i="30"/>
  <c r="DJ41" i="30"/>
  <c r="DI41" i="30"/>
  <c r="DH41" i="30"/>
  <c r="DG41" i="30"/>
  <c r="DF41" i="30"/>
  <c r="DE41" i="30"/>
  <c r="DD41" i="30"/>
  <c r="DC41" i="30"/>
  <c r="DB41" i="30"/>
  <c r="DA41" i="30"/>
  <c r="CZ41" i="30"/>
  <c r="CY41" i="30"/>
  <c r="CX41" i="30"/>
  <c r="CW41" i="30"/>
  <c r="CV41" i="30"/>
  <c r="CU41" i="30"/>
  <c r="CT41" i="30"/>
  <c r="CS41" i="30"/>
  <c r="CR41" i="30"/>
  <c r="CQ41" i="30"/>
  <c r="CP41" i="30"/>
  <c r="CO41" i="30"/>
  <c r="CN41" i="30"/>
  <c r="CM41" i="30"/>
  <c r="CL41" i="30"/>
  <c r="CK41" i="30"/>
  <c r="CJ41" i="30"/>
  <c r="CI41" i="30"/>
  <c r="CH41" i="30"/>
  <c r="CG41" i="30"/>
  <c r="CF41" i="30"/>
  <c r="CE41" i="30"/>
  <c r="CD41" i="30"/>
  <c r="CC41" i="30"/>
  <c r="CB41" i="30"/>
  <c r="CA41" i="30"/>
  <c r="BZ41" i="30"/>
  <c r="BY41" i="30"/>
  <c r="BX41" i="30"/>
  <c r="BW41" i="30"/>
  <c r="BV41" i="30"/>
  <c r="BU41" i="30"/>
  <c r="BT41" i="30"/>
  <c r="BS41" i="30"/>
  <c r="BR41" i="30"/>
  <c r="BQ41" i="30"/>
  <c r="BP41" i="30"/>
  <c r="BO41" i="30"/>
  <c r="BN41" i="30"/>
  <c r="BM41" i="30"/>
  <c r="BL41" i="30"/>
  <c r="BK41" i="30"/>
  <c r="BJ41" i="30"/>
  <c r="BI41" i="30"/>
  <c r="BH41" i="30"/>
  <c r="BG41" i="30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F41" i="30"/>
  <c r="P41" i="30"/>
  <c r="J41" i="30"/>
  <c r="I41" i="30"/>
  <c r="C41" i="30"/>
  <c r="B41" i="30"/>
  <c r="I7" i="30"/>
  <c r="J7" i="30"/>
  <c r="I8" i="30"/>
  <c r="J8" i="30"/>
  <c r="I9" i="30"/>
  <c r="J9" i="30"/>
  <c r="I10" i="30"/>
  <c r="J10" i="30"/>
  <c r="I11" i="30"/>
  <c r="J11" i="30"/>
  <c r="I12" i="30"/>
  <c r="J12" i="30"/>
  <c r="I13" i="30"/>
  <c r="J13" i="30"/>
  <c r="I14" i="30"/>
  <c r="J14" i="30"/>
  <c r="I15" i="30"/>
  <c r="J15" i="30"/>
  <c r="I16" i="30"/>
  <c r="J16" i="30"/>
  <c r="I17" i="30"/>
  <c r="J17" i="30"/>
  <c r="I18" i="30"/>
  <c r="J18" i="30"/>
  <c r="I19" i="30"/>
  <c r="J19" i="30"/>
  <c r="I20" i="30"/>
  <c r="J20" i="30"/>
  <c r="I21" i="30"/>
  <c r="J21" i="30"/>
  <c r="I22" i="30"/>
  <c r="J22" i="30"/>
  <c r="I23" i="30"/>
  <c r="J23" i="30"/>
  <c r="I24" i="30"/>
  <c r="J24" i="30"/>
  <c r="I25" i="30"/>
  <c r="J25" i="30"/>
  <c r="I26" i="30"/>
  <c r="J26" i="30"/>
  <c r="I27" i="30"/>
  <c r="J27" i="30"/>
  <c r="I28" i="30"/>
  <c r="J28" i="30"/>
  <c r="I47" i="30"/>
  <c r="J47" i="30"/>
  <c r="I48" i="30"/>
  <c r="J48" i="30"/>
  <c r="I49" i="30"/>
  <c r="J49" i="30"/>
  <c r="I50" i="30"/>
  <c r="J50" i="30"/>
  <c r="I51" i="30"/>
  <c r="J51" i="30"/>
  <c r="I52" i="30"/>
  <c r="J52" i="30"/>
  <c r="I53" i="30"/>
  <c r="J53" i="30"/>
  <c r="I54" i="30"/>
  <c r="J54" i="30"/>
  <c r="I55" i="30"/>
  <c r="J55" i="30"/>
  <c r="I58" i="30"/>
  <c r="J58" i="30"/>
  <c r="I59" i="30"/>
  <c r="J59" i="30"/>
  <c r="I60" i="30"/>
  <c r="J60" i="30"/>
  <c r="I61" i="30"/>
  <c r="J61" i="30"/>
  <c r="I62" i="30"/>
  <c r="J62" i="30"/>
  <c r="I63" i="30"/>
  <c r="J63" i="30"/>
  <c r="I64" i="30"/>
  <c r="J64" i="30"/>
  <c r="I65" i="30"/>
  <c r="J65" i="30"/>
  <c r="J6" i="30"/>
  <c r="I6" i="30"/>
  <c r="P7" i="30"/>
  <c r="P8" i="30"/>
  <c r="P9" i="30"/>
  <c r="P10" i="30"/>
  <c r="P11" i="30"/>
  <c r="P12" i="30"/>
  <c r="P13" i="30"/>
  <c r="P14" i="30"/>
  <c r="P15" i="30"/>
  <c r="P16" i="30"/>
  <c r="P17" i="30"/>
  <c r="P18" i="30"/>
  <c r="P19" i="30"/>
  <c r="P20" i="30"/>
  <c r="P21" i="30"/>
  <c r="P22" i="30"/>
  <c r="P23" i="30"/>
  <c r="P24" i="30"/>
  <c r="P25" i="30"/>
  <c r="P26" i="30"/>
  <c r="P27" i="30"/>
  <c r="P28" i="30"/>
  <c r="P47" i="30"/>
  <c r="P48" i="30"/>
  <c r="P49" i="30"/>
  <c r="P50" i="30"/>
  <c r="P51" i="30"/>
  <c r="P52" i="30"/>
  <c r="P53" i="30"/>
  <c r="P54" i="30"/>
  <c r="P55" i="30"/>
  <c r="P58" i="30"/>
  <c r="P59" i="30"/>
  <c r="P60" i="30"/>
  <c r="P61" i="30"/>
  <c r="P62" i="30"/>
  <c r="P63" i="30"/>
  <c r="P64" i="30"/>
  <c r="P65" i="30"/>
  <c r="P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19" i="30"/>
  <c r="B20" i="30"/>
  <c r="B21" i="30"/>
  <c r="B22" i="30"/>
  <c r="B23" i="30"/>
  <c r="B24" i="30"/>
  <c r="B25" i="30"/>
  <c r="B26" i="30"/>
  <c r="B27" i="30"/>
  <c r="B28" i="30"/>
  <c r="B47" i="30"/>
  <c r="B48" i="30"/>
  <c r="B49" i="30"/>
  <c r="B50" i="30"/>
  <c r="B51" i="30"/>
  <c r="B52" i="30"/>
  <c r="B53" i="30"/>
  <c r="B54" i="30"/>
  <c r="B55" i="30"/>
  <c r="B58" i="30"/>
  <c r="B59" i="30"/>
  <c r="B60" i="30"/>
  <c r="B61" i="30"/>
  <c r="B62" i="30"/>
  <c r="B63" i="30"/>
  <c r="B64" i="30"/>
  <c r="B65" i="30"/>
  <c r="B6" i="30"/>
  <c r="C9" i="31"/>
  <c r="FK6" i="30" a="1"/>
  <c r="FL6" i="30" a="1"/>
  <c r="FM6" i="30" a="1"/>
  <c r="FN6" i="30" a="1"/>
  <c r="FO6" i="30" a="1"/>
  <c r="FP6" i="30" a="1"/>
  <c r="FK21" i="30" a="1"/>
  <c r="FL21" i="30" a="1"/>
  <c r="FM21" i="30" a="1"/>
  <c r="FN21" i="30" a="1"/>
  <c r="FO21" i="30" a="1"/>
  <c r="FP21" i="30" a="1"/>
  <c r="FJ21" i="30" a="1"/>
  <c r="FJ6" i="30" a="1"/>
  <c r="ES7" i="30"/>
  <c r="ET7" i="30"/>
  <c r="EU7" i="30"/>
  <c r="EV7" i="30"/>
  <c r="EW7" i="30"/>
  <c r="EX7" i="30"/>
  <c r="ES8" i="30"/>
  <c r="ET8" i="30"/>
  <c r="EU8" i="30"/>
  <c r="EV8" i="30"/>
  <c r="EW8" i="30"/>
  <c r="EX8" i="30"/>
  <c r="ES14" i="30"/>
  <c r="ET14" i="30"/>
  <c r="EU14" i="30"/>
  <c r="EV14" i="30"/>
  <c r="EW14" i="30"/>
  <c r="EX14" i="30"/>
  <c r="ES19" i="30"/>
  <c r="ET19" i="30"/>
  <c r="EU19" i="30"/>
  <c r="EV19" i="30"/>
  <c r="EW19" i="30"/>
  <c r="EX19" i="30"/>
  <c r="ES20" i="30"/>
  <c r="ET20" i="30"/>
  <c r="EU20" i="30"/>
  <c r="EV20" i="30"/>
  <c r="EW20" i="30"/>
  <c r="EX20" i="30"/>
  <c r="ES22" i="30"/>
  <c r="ET22" i="30"/>
  <c r="EU22" i="30"/>
  <c r="EV22" i="30"/>
  <c r="EW22" i="30"/>
  <c r="EX22" i="30"/>
  <c r="ES23" i="30"/>
  <c r="ET23" i="30"/>
  <c r="EU23" i="30"/>
  <c r="EV23" i="30"/>
  <c r="EW23" i="30"/>
  <c r="EX23" i="30"/>
  <c r="ES28" i="30"/>
  <c r="ET28" i="30"/>
  <c r="EU28" i="30"/>
  <c r="EV28" i="30"/>
  <c r="EW28" i="30"/>
  <c r="EX28" i="30"/>
  <c r="ES48" i="30"/>
  <c r="ET48" i="30"/>
  <c r="EU48" i="30"/>
  <c r="EV48" i="30"/>
  <c r="EW48" i="30"/>
  <c r="EX48" i="30"/>
  <c r="ES50" i="30"/>
  <c r="ET50" i="30"/>
  <c r="EU50" i="30"/>
  <c r="EV50" i="30"/>
  <c r="EW50" i="30"/>
  <c r="EX50" i="30"/>
  <c r="ES52" i="30"/>
  <c r="ET52" i="30"/>
  <c r="EU52" i="30"/>
  <c r="EV52" i="30"/>
  <c r="EW52" i="30"/>
  <c r="EX52" i="30"/>
  <c r="ES54" i="30"/>
  <c r="ET54" i="30"/>
  <c r="EU54" i="30"/>
  <c r="EV54" i="30"/>
  <c r="EW54" i="30"/>
  <c r="EX54" i="30"/>
  <c r="ES55" i="30"/>
  <c r="ET55" i="30"/>
  <c r="EU55" i="30"/>
  <c r="EV55" i="30"/>
  <c r="EW55" i="30"/>
  <c r="EX55" i="30"/>
  <c r="ES58" i="30"/>
  <c r="ET58" i="30"/>
  <c r="EU58" i="30"/>
  <c r="EV58" i="30"/>
  <c r="EW58" i="30"/>
  <c r="EX58" i="30"/>
  <c r="ES59" i="30"/>
  <c r="ET59" i="30"/>
  <c r="EU59" i="30"/>
  <c r="EV59" i="30"/>
  <c r="EW59" i="30"/>
  <c r="EX59" i="30"/>
  <c r="ES60" i="30"/>
  <c r="ET60" i="30"/>
  <c r="EU60" i="30"/>
  <c r="EV60" i="30"/>
  <c r="EW60" i="30"/>
  <c r="EX60" i="30"/>
  <c r="ES62" i="30"/>
  <c r="ET62" i="30"/>
  <c r="EU62" i="30"/>
  <c r="EV62" i="30"/>
  <c r="EW62" i="30"/>
  <c r="EX62" i="30"/>
  <c r="ES63" i="30"/>
  <c r="ET63" i="30"/>
  <c r="EU63" i="30"/>
  <c r="EV63" i="30"/>
  <c r="EW63" i="30"/>
  <c r="EX63" i="30"/>
  <c r="ES64" i="30"/>
  <c r="ET64" i="30"/>
  <c r="EU64" i="30"/>
  <c r="EV64" i="30"/>
  <c r="EW64" i="30"/>
  <c r="EX64" i="30"/>
  <c r="ER7" i="30"/>
  <c r="ER8" i="30"/>
  <c r="ER14" i="30"/>
  <c r="ER19" i="30"/>
  <c r="ER20" i="30"/>
  <c r="ER22" i="30"/>
  <c r="ER23" i="30"/>
  <c r="ER28" i="30"/>
  <c r="ER48" i="30"/>
  <c r="ER50" i="30"/>
  <c r="ER52" i="30"/>
  <c r="ER54" i="30"/>
  <c r="ER55" i="30"/>
  <c r="ER58" i="30"/>
  <c r="ER59" i="30"/>
  <c r="ER60" i="30"/>
  <c r="ER62" i="30"/>
  <c r="ER63" i="30"/>
  <c r="ER64" i="30"/>
  <c r="FG71" i="30"/>
  <c r="FF71" i="30"/>
  <c r="FE71" i="30"/>
  <c r="FD71" i="30"/>
  <c r="FC71" i="30"/>
  <c r="FB71" i="30"/>
  <c r="FA71" i="30"/>
  <c r="EX71" i="30"/>
  <c r="EW71" i="30"/>
  <c r="EV71" i="30"/>
  <c r="EU71" i="30"/>
  <c r="ET71" i="30"/>
  <c r="ES71" i="30"/>
  <c r="ER71" i="30"/>
  <c r="FJ5" i="30" l="1"/>
  <c r="FA5" i="30"/>
  <c r="ER5" i="30"/>
  <c r="C10" i="31"/>
  <c r="FI57" i="30"/>
  <c r="EZ57" i="30"/>
  <c r="EQ57" i="30"/>
  <c r="DO57" i="30"/>
  <c r="FI32" i="30"/>
  <c r="EZ32" i="30"/>
  <c r="EQ32" i="30"/>
  <c r="EG32" i="30"/>
  <c r="FI30" i="30"/>
  <c r="EZ30" i="30"/>
  <c r="EQ30" i="30"/>
  <c r="EG30" i="30"/>
  <c r="DX30" i="30"/>
  <c r="DO30" i="30"/>
  <c r="EZ56" i="30"/>
  <c r="EQ56" i="30"/>
  <c r="EG56" i="30"/>
  <c r="DX56" i="30"/>
  <c r="DO56" i="30"/>
  <c r="EG57" i="30"/>
  <c r="DX57" i="30"/>
  <c r="FI56" i="30"/>
  <c r="FI34" i="30"/>
  <c r="EZ34" i="30"/>
  <c r="EQ34" i="30"/>
  <c r="EG34" i="30"/>
  <c r="DX34" i="30"/>
  <c r="DO34" i="30"/>
  <c r="FI33" i="30"/>
  <c r="EZ33" i="30"/>
  <c r="EQ33" i="30"/>
  <c r="DX32" i="30"/>
  <c r="DO32" i="30"/>
  <c r="FI31" i="30"/>
  <c r="EZ31" i="30"/>
  <c r="EQ31" i="30"/>
  <c r="EG31" i="30"/>
  <c r="DX31" i="30"/>
  <c r="DO31" i="30"/>
  <c r="FI29" i="30"/>
  <c r="EZ29" i="30"/>
  <c r="EQ29" i="30"/>
  <c r="EG29" i="30"/>
  <c r="DX29" i="30"/>
  <c r="DO29" i="30"/>
  <c r="EG33" i="30"/>
  <c r="DX33" i="30"/>
  <c r="FI39" i="30"/>
  <c r="EZ39" i="30"/>
  <c r="EQ39" i="30"/>
  <c r="EG39" i="30"/>
  <c r="DX39" i="30"/>
  <c r="DO39" i="30"/>
  <c r="DO33" i="30"/>
  <c r="FI40" i="30"/>
  <c r="EZ40" i="30"/>
  <c r="EQ40" i="30"/>
  <c r="EG40" i="30"/>
  <c r="DX40" i="30"/>
  <c r="DO40" i="30"/>
  <c r="EG37" i="30"/>
  <c r="DX37" i="30"/>
  <c r="DO37" i="30"/>
  <c r="EG36" i="30"/>
  <c r="DX36" i="30"/>
  <c r="DO36" i="30"/>
  <c r="FI35" i="30"/>
  <c r="EZ35" i="30"/>
  <c r="EQ35" i="30"/>
  <c r="FI44" i="30"/>
  <c r="EQ44" i="30"/>
  <c r="FI43" i="30"/>
  <c r="EZ43" i="30"/>
  <c r="DX43" i="30"/>
  <c r="FI42" i="30"/>
  <c r="EZ42" i="30"/>
  <c r="EQ42" i="30"/>
  <c r="DX42" i="30"/>
  <c r="DO42" i="30"/>
  <c r="FI38" i="30"/>
  <c r="EZ38" i="30"/>
  <c r="EQ38" i="30"/>
  <c r="EG38" i="30"/>
  <c r="DX38" i="30"/>
  <c r="DO38" i="30"/>
  <c r="FI37" i="30"/>
  <c r="EZ37" i="30"/>
  <c r="EQ37" i="30"/>
  <c r="FI36" i="30"/>
  <c r="EZ36" i="30"/>
  <c r="EQ36" i="30"/>
  <c r="EG35" i="30"/>
  <c r="DX35" i="30"/>
  <c r="DO35" i="30"/>
  <c r="EZ44" i="30"/>
  <c r="EQ43" i="30"/>
  <c r="EG43" i="30"/>
  <c r="EG42" i="30"/>
  <c r="FI41" i="30"/>
  <c r="EZ41" i="30"/>
  <c r="EQ41" i="30"/>
  <c r="EG41" i="30"/>
  <c r="DX41" i="30"/>
  <c r="DO41" i="30"/>
  <c r="EZ45" i="30"/>
  <c r="EQ45" i="30"/>
  <c r="EG44" i="30"/>
  <c r="DX44" i="30"/>
  <c r="DO44" i="30"/>
  <c r="DO43" i="30"/>
  <c r="FI46" i="30"/>
  <c r="EZ46" i="30"/>
  <c r="EQ46" i="30"/>
  <c r="FI45" i="30"/>
  <c r="EG46" i="30"/>
  <c r="DX46" i="30"/>
  <c r="DO46" i="30"/>
  <c r="EG45" i="30"/>
  <c r="DX45" i="30"/>
  <c r="DO45" i="30"/>
  <c r="D2" i="31"/>
  <c r="D10" i="31" l="1"/>
  <c r="E2" i="31"/>
  <c r="FK5" i="30"/>
  <c r="ES5" i="30"/>
  <c r="FB5" i="30"/>
  <c r="F2" i="31"/>
  <c r="DZ71" i="30"/>
  <c r="EA71" i="30"/>
  <c r="DY71" i="30"/>
  <c r="EI6" i="30" a="1"/>
  <c r="EJ6" i="30" a="1"/>
  <c r="EK6" i="30" a="1"/>
  <c r="EL6" i="30" a="1"/>
  <c r="EM6" i="30" a="1"/>
  <c r="EN6" i="30" a="1"/>
  <c r="EH6" i="30" a="1"/>
  <c r="EB71" i="30" l="1"/>
  <c r="E10" i="31"/>
  <c r="F10" i="31"/>
  <c r="FM5" i="30"/>
  <c r="EU5" i="30"/>
  <c r="FD5" i="30"/>
  <c r="FC5" i="30"/>
  <c r="ET5" i="30"/>
  <c r="FL5" i="30"/>
  <c r="G2" i="31"/>
  <c r="EC5" i="30" s="1"/>
  <c r="EI5" i="30"/>
  <c r="EJ5" i="30"/>
  <c r="EK5" i="30"/>
  <c r="EH5" i="30"/>
  <c r="DQ20" i="30"/>
  <c r="DR20" i="30"/>
  <c r="DS20" i="30"/>
  <c r="DT20" i="30"/>
  <c r="DU20" i="30"/>
  <c r="DV20" i="30"/>
  <c r="DQ48" i="30"/>
  <c r="DR48" i="30"/>
  <c r="DS48" i="30"/>
  <c r="DT48" i="30"/>
  <c r="DU48" i="30"/>
  <c r="DV48" i="30"/>
  <c r="DQ50" i="30"/>
  <c r="DR50" i="30"/>
  <c r="DS50" i="30"/>
  <c r="DT50" i="30"/>
  <c r="DU50" i="30"/>
  <c r="DV50" i="30"/>
  <c r="DQ52" i="30"/>
  <c r="DR52" i="30"/>
  <c r="DS52" i="30"/>
  <c r="DT52" i="30"/>
  <c r="DU52" i="30"/>
  <c r="DV52" i="30"/>
  <c r="DQ55" i="30"/>
  <c r="DR55" i="30"/>
  <c r="DS55" i="30"/>
  <c r="DT55" i="30"/>
  <c r="DU55" i="30"/>
  <c r="DV55" i="30"/>
  <c r="DQ58" i="30"/>
  <c r="DR58" i="30"/>
  <c r="DS58" i="30"/>
  <c r="DT58" i="30"/>
  <c r="DU58" i="30"/>
  <c r="DV58" i="30"/>
  <c r="DQ59" i="30"/>
  <c r="DR59" i="30"/>
  <c r="DS59" i="30"/>
  <c r="DT59" i="30"/>
  <c r="DU59" i="30"/>
  <c r="DV59" i="30"/>
  <c r="DQ60" i="30"/>
  <c r="DR60" i="30"/>
  <c r="DS60" i="30"/>
  <c r="DT60" i="30"/>
  <c r="DU60" i="30"/>
  <c r="DV60" i="30"/>
  <c r="DQ62" i="30"/>
  <c r="DR62" i="30"/>
  <c r="DS62" i="30"/>
  <c r="DT62" i="30"/>
  <c r="DU62" i="30"/>
  <c r="DV62" i="30"/>
  <c r="DQ63" i="30"/>
  <c r="DR63" i="30"/>
  <c r="DS63" i="30"/>
  <c r="DT63" i="30"/>
  <c r="DU63" i="30"/>
  <c r="DV63" i="30"/>
  <c r="DQ64" i="30"/>
  <c r="DR64" i="30"/>
  <c r="DS64" i="30"/>
  <c r="DT64" i="30"/>
  <c r="DU64" i="30"/>
  <c r="DV64" i="30"/>
  <c r="DP20" i="30"/>
  <c r="DP48" i="30"/>
  <c r="DP50" i="30"/>
  <c r="DP52" i="30"/>
  <c r="DP55" i="30"/>
  <c r="DP58" i="30"/>
  <c r="DP59" i="30"/>
  <c r="DP60" i="30"/>
  <c r="DP62" i="30"/>
  <c r="DP63" i="30"/>
  <c r="DP64" i="30"/>
  <c r="DZ5" i="30"/>
  <c r="EA5" i="30"/>
  <c r="EB5" i="30"/>
  <c r="DY5" i="30"/>
  <c r="DK23" i="30"/>
  <c r="DJ23" i="30"/>
  <c r="DI23" i="30"/>
  <c r="DH23" i="30"/>
  <c r="DG23" i="30"/>
  <c r="DF23" i="30"/>
  <c r="DE23" i="30"/>
  <c r="DD23" i="30"/>
  <c r="DC23" i="30"/>
  <c r="DB23" i="30"/>
  <c r="DA23" i="30"/>
  <c r="CZ23" i="30"/>
  <c r="CY23" i="30"/>
  <c r="CX23" i="30"/>
  <c r="CW23" i="30"/>
  <c r="CV23" i="30"/>
  <c r="CU23" i="30"/>
  <c r="CT23" i="30"/>
  <c r="CS23" i="30"/>
  <c r="CR23" i="30"/>
  <c r="CQ23" i="30"/>
  <c r="CP23" i="30"/>
  <c r="CO23" i="30"/>
  <c r="CN23" i="30"/>
  <c r="CM23" i="30"/>
  <c r="CL23" i="30"/>
  <c r="CK23" i="30"/>
  <c r="CJ23" i="30"/>
  <c r="CI23" i="30"/>
  <c r="CH23" i="30"/>
  <c r="CG23" i="30"/>
  <c r="CF23" i="30"/>
  <c r="CE23" i="30"/>
  <c r="CD23" i="30"/>
  <c r="CC23" i="30"/>
  <c r="CB23" i="30"/>
  <c r="CA23" i="30"/>
  <c r="BZ23" i="30"/>
  <c r="BY23" i="30"/>
  <c r="BX23" i="30"/>
  <c r="BW23" i="30"/>
  <c r="BV23" i="30"/>
  <c r="BU23" i="30"/>
  <c r="BT23" i="30"/>
  <c r="BS23" i="30"/>
  <c r="BR23" i="30"/>
  <c r="BQ23" i="30"/>
  <c r="BP23" i="30"/>
  <c r="BO23" i="30"/>
  <c r="BN23" i="30"/>
  <c r="BM23" i="30"/>
  <c r="BL23" i="30"/>
  <c r="BK23" i="30"/>
  <c r="BJ23" i="30"/>
  <c r="BI23" i="30"/>
  <c r="BH23" i="30"/>
  <c r="BG23" i="30"/>
  <c r="BF23" i="30"/>
  <c r="BE23" i="30"/>
  <c r="BD23" i="30"/>
  <c r="BC23" i="30"/>
  <c r="BB23" i="30"/>
  <c r="BA23" i="30"/>
  <c r="AZ23" i="30"/>
  <c r="AY23" i="30"/>
  <c r="AX23" i="30"/>
  <c r="AW23" i="30"/>
  <c r="AV23" i="30"/>
  <c r="AU23" i="30"/>
  <c r="AT23" i="30"/>
  <c r="AS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C23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4" i="30"/>
  <c r="C25" i="30"/>
  <c r="C26" i="30"/>
  <c r="C27" i="30"/>
  <c r="C28" i="30"/>
  <c r="C47" i="30"/>
  <c r="C48" i="30"/>
  <c r="C49" i="30"/>
  <c r="C50" i="30"/>
  <c r="C51" i="30"/>
  <c r="C52" i="30"/>
  <c r="C53" i="30"/>
  <c r="C54" i="30"/>
  <c r="C55" i="30"/>
  <c r="C58" i="30"/>
  <c r="C59" i="30"/>
  <c r="C60" i="30"/>
  <c r="C61" i="30"/>
  <c r="C62" i="30"/>
  <c r="C63" i="30"/>
  <c r="C64" i="30"/>
  <c r="C65" i="30"/>
  <c r="C6" i="30"/>
  <c r="DS71" i="30"/>
  <c r="DR71" i="30"/>
  <c r="DQ71" i="30"/>
  <c r="DP71" i="30"/>
  <c r="DQ5" i="30"/>
  <c r="DR5" i="30"/>
  <c r="DS5" i="30"/>
  <c r="DP5" i="30"/>
  <c r="T1" i="30"/>
  <c r="D9" i="31"/>
  <c r="E9" i="31"/>
  <c r="F9" i="31"/>
  <c r="G9" i="31"/>
  <c r="H9" i="31"/>
  <c r="I9" i="31"/>
  <c r="CB6" i="30"/>
  <c r="CC6" i="30"/>
  <c r="CD6" i="30"/>
  <c r="CE6" i="30"/>
  <c r="CF6" i="30"/>
  <c r="CG6" i="30"/>
  <c r="CH6" i="30"/>
  <c r="CI6" i="30"/>
  <c r="CJ6" i="30"/>
  <c r="CK6" i="30"/>
  <c r="CL6" i="30"/>
  <c r="CM6" i="30"/>
  <c r="CN6" i="30"/>
  <c r="CO6" i="30"/>
  <c r="CP6" i="30"/>
  <c r="CQ6" i="30"/>
  <c r="CR6" i="30"/>
  <c r="CS6" i="30"/>
  <c r="CT6" i="30"/>
  <c r="CU6" i="30"/>
  <c r="CV6" i="30"/>
  <c r="CW6" i="30"/>
  <c r="CX6" i="30"/>
  <c r="CY6" i="30"/>
  <c r="CZ6" i="30"/>
  <c r="DA6" i="30"/>
  <c r="DB6" i="30"/>
  <c r="DC6" i="30"/>
  <c r="DD6" i="30"/>
  <c r="DE6" i="30"/>
  <c r="DF6" i="30"/>
  <c r="DG6" i="30"/>
  <c r="DH6" i="30"/>
  <c r="DI6" i="30"/>
  <c r="DJ6" i="30"/>
  <c r="DK6" i="30"/>
  <c r="CB7" i="30"/>
  <c r="CC7" i="30"/>
  <c r="CD7" i="30"/>
  <c r="CE7" i="30"/>
  <c r="CF7" i="30"/>
  <c r="CG7" i="30"/>
  <c r="CH7" i="30"/>
  <c r="CI7" i="30"/>
  <c r="CJ7" i="30"/>
  <c r="CK7" i="30"/>
  <c r="CL7" i="30"/>
  <c r="CM7" i="30"/>
  <c r="CN7" i="30"/>
  <c r="CO7" i="30"/>
  <c r="CP7" i="30"/>
  <c r="CQ7" i="30"/>
  <c r="CR7" i="30"/>
  <c r="CS7" i="30"/>
  <c r="CT7" i="30"/>
  <c r="CU7" i="30"/>
  <c r="CV7" i="30"/>
  <c r="CW7" i="30"/>
  <c r="CX7" i="30"/>
  <c r="CY7" i="30"/>
  <c r="CZ7" i="30"/>
  <c r="DA7" i="30"/>
  <c r="DB7" i="30"/>
  <c r="DC7" i="30"/>
  <c r="DD7" i="30"/>
  <c r="DE7" i="30"/>
  <c r="DF7" i="30"/>
  <c r="DG7" i="30"/>
  <c r="DH7" i="30"/>
  <c r="DI7" i="30"/>
  <c r="DJ7" i="30"/>
  <c r="DK7" i="30"/>
  <c r="CB8" i="30"/>
  <c r="DT8" i="30" s="1"/>
  <c r="CC8" i="30"/>
  <c r="CD8" i="30"/>
  <c r="CE8" i="30"/>
  <c r="CF8" i="30"/>
  <c r="CG8" i="30"/>
  <c r="CH8" i="30"/>
  <c r="CI8" i="30"/>
  <c r="CJ8" i="30"/>
  <c r="CK8" i="30"/>
  <c r="CL8" i="30"/>
  <c r="CM8" i="30"/>
  <c r="CN8" i="30"/>
  <c r="DU8" i="30" s="1"/>
  <c r="CO8" i="30"/>
  <c r="CP8" i="30"/>
  <c r="CQ8" i="30"/>
  <c r="CR8" i="30"/>
  <c r="CS8" i="30"/>
  <c r="CT8" i="30"/>
  <c r="CU8" i="30"/>
  <c r="CV8" i="30"/>
  <c r="CW8" i="30"/>
  <c r="CX8" i="30"/>
  <c r="CY8" i="30"/>
  <c r="CZ8" i="30"/>
  <c r="DV8" i="30" s="1"/>
  <c r="DA8" i="30"/>
  <c r="DB8" i="30"/>
  <c r="DC8" i="30"/>
  <c r="DD8" i="30"/>
  <c r="DE8" i="30"/>
  <c r="DF8" i="30"/>
  <c r="DG8" i="30"/>
  <c r="DH8" i="30"/>
  <c r="DI8" i="30"/>
  <c r="DJ8" i="30"/>
  <c r="DK8" i="30"/>
  <c r="CB9" i="30"/>
  <c r="CC9" i="30"/>
  <c r="CD9" i="30"/>
  <c r="CE9" i="30"/>
  <c r="CF9" i="30"/>
  <c r="CG9" i="30"/>
  <c r="CH9" i="30"/>
  <c r="CI9" i="30"/>
  <c r="CJ9" i="30"/>
  <c r="CK9" i="30"/>
  <c r="CL9" i="30"/>
  <c r="CM9" i="30"/>
  <c r="CN9" i="30"/>
  <c r="CO9" i="30"/>
  <c r="CP9" i="30"/>
  <c r="CQ9" i="30"/>
  <c r="CR9" i="30"/>
  <c r="CS9" i="30"/>
  <c r="CT9" i="30"/>
  <c r="CU9" i="30"/>
  <c r="CV9" i="30"/>
  <c r="CW9" i="30"/>
  <c r="CX9" i="30"/>
  <c r="CY9" i="30"/>
  <c r="CZ9" i="30"/>
  <c r="DA9" i="30"/>
  <c r="DB9" i="30"/>
  <c r="DC9" i="30"/>
  <c r="DD9" i="30"/>
  <c r="DE9" i="30"/>
  <c r="DF9" i="30"/>
  <c r="DG9" i="30"/>
  <c r="DH9" i="30"/>
  <c r="DI9" i="30"/>
  <c r="DJ9" i="30"/>
  <c r="DK9" i="30"/>
  <c r="CB10" i="30"/>
  <c r="CC10" i="30"/>
  <c r="CD10" i="30"/>
  <c r="CE10" i="30"/>
  <c r="CF10" i="30"/>
  <c r="CG10" i="30"/>
  <c r="CH10" i="30"/>
  <c r="CI10" i="30"/>
  <c r="CJ10" i="30"/>
  <c r="CK10" i="30"/>
  <c r="CL10" i="30"/>
  <c r="CM10" i="30"/>
  <c r="CN10" i="30"/>
  <c r="CO10" i="30"/>
  <c r="CP10" i="30"/>
  <c r="CQ10" i="30"/>
  <c r="CR10" i="30"/>
  <c r="CS10" i="30"/>
  <c r="CT10" i="30"/>
  <c r="CU10" i="30"/>
  <c r="CV10" i="30"/>
  <c r="CW10" i="30"/>
  <c r="CX10" i="30"/>
  <c r="CY10" i="30"/>
  <c r="CZ10" i="30"/>
  <c r="DA10" i="30"/>
  <c r="DB10" i="30"/>
  <c r="DC10" i="30"/>
  <c r="DD10" i="30"/>
  <c r="DE10" i="30"/>
  <c r="DF10" i="30"/>
  <c r="DG10" i="30"/>
  <c r="DH10" i="30"/>
  <c r="DI10" i="30"/>
  <c r="DJ10" i="30"/>
  <c r="DK10" i="30"/>
  <c r="CB11" i="30"/>
  <c r="CC11" i="30"/>
  <c r="CD11" i="30"/>
  <c r="CE11" i="30"/>
  <c r="CF11" i="30"/>
  <c r="CG11" i="30"/>
  <c r="CH11" i="30"/>
  <c r="CI11" i="30"/>
  <c r="CJ11" i="30"/>
  <c r="CK11" i="30"/>
  <c r="CL11" i="30"/>
  <c r="CM11" i="30"/>
  <c r="CN11" i="30"/>
  <c r="CO11" i="30"/>
  <c r="CP11" i="30"/>
  <c r="CQ11" i="30"/>
  <c r="CR11" i="30"/>
  <c r="CS11" i="30"/>
  <c r="CT11" i="30"/>
  <c r="CU11" i="30"/>
  <c r="CV11" i="30"/>
  <c r="CW11" i="30"/>
  <c r="CX11" i="30"/>
  <c r="CY11" i="30"/>
  <c r="CZ11" i="30"/>
  <c r="DA11" i="30"/>
  <c r="DB11" i="30"/>
  <c r="DC11" i="30"/>
  <c r="DD11" i="30"/>
  <c r="DE11" i="30"/>
  <c r="DF11" i="30"/>
  <c r="DG11" i="30"/>
  <c r="DH11" i="30"/>
  <c r="DI11" i="30"/>
  <c r="DJ11" i="30"/>
  <c r="DK11" i="30"/>
  <c r="CB12" i="30"/>
  <c r="CC12" i="30"/>
  <c r="CD12" i="30"/>
  <c r="CE12" i="30"/>
  <c r="CF12" i="30"/>
  <c r="CG12" i="30"/>
  <c r="CH12" i="30"/>
  <c r="CI12" i="30"/>
  <c r="CJ12" i="30"/>
  <c r="CK12" i="30"/>
  <c r="CL12" i="30"/>
  <c r="CM12" i="30"/>
  <c r="CN12" i="30"/>
  <c r="CO12" i="30"/>
  <c r="CP12" i="30"/>
  <c r="CQ12" i="30"/>
  <c r="CR12" i="30"/>
  <c r="CS12" i="30"/>
  <c r="CT12" i="30"/>
  <c r="CU12" i="30"/>
  <c r="CV12" i="30"/>
  <c r="CW12" i="30"/>
  <c r="CX12" i="30"/>
  <c r="CY12" i="30"/>
  <c r="CZ12" i="30"/>
  <c r="DA12" i="30"/>
  <c r="DB12" i="30"/>
  <c r="DC12" i="30"/>
  <c r="DD12" i="30"/>
  <c r="DE12" i="30"/>
  <c r="DF12" i="30"/>
  <c r="DG12" i="30"/>
  <c r="DH12" i="30"/>
  <c r="DI12" i="30"/>
  <c r="DJ12" i="30"/>
  <c r="DK12" i="30"/>
  <c r="CB13" i="30"/>
  <c r="CC13" i="30"/>
  <c r="CD13" i="30"/>
  <c r="CE13" i="30"/>
  <c r="CF13" i="30"/>
  <c r="CG13" i="30"/>
  <c r="CH13" i="30"/>
  <c r="CI13" i="30"/>
  <c r="CJ13" i="30"/>
  <c r="CK13" i="30"/>
  <c r="CL13" i="30"/>
  <c r="CM13" i="30"/>
  <c r="CN13" i="30"/>
  <c r="CO13" i="30"/>
  <c r="CP13" i="30"/>
  <c r="CQ13" i="30"/>
  <c r="CR13" i="30"/>
  <c r="CS13" i="30"/>
  <c r="CT13" i="30"/>
  <c r="CU13" i="30"/>
  <c r="CV13" i="30"/>
  <c r="CW13" i="30"/>
  <c r="CX13" i="30"/>
  <c r="CY13" i="30"/>
  <c r="CZ13" i="30"/>
  <c r="DA13" i="30"/>
  <c r="DB13" i="30"/>
  <c r="DC13" i="30"/>
  <c r="DD13" i="30"/>
  <c r="DE13" i="30"/>
  <c r="DF13" i="30"/>
  <c r="DG13" i="30"/>
  <c r="DH13" i="30"/>
  <c r="DI13" i="30"/>
  <c r="DJ13" i="30"/>
  <c r="DK13" i="30"/>
  <c r="CB14" i="30"/>
  <c r="CC14" i="30"/>
  <c r="CD14" i="30"/>
  <c r="CE14" i="30"/>
  <c r="CF14" i="30"/>
  <c r="CG14" i="30"/>
  <c r="CH14" i="30"/>
  <c r="CI14" i="30"/>
  <c r="CJ14" i="30"/>
  <c r="CK14" i="30"/>
  <c r="CL14" i="30"/>
  <c r="CM14" i="30"/>
  <c r="CN14" i="30"/>
  <c r="CO14" i="30"/>
  <c r="CP14" i="30"/>
  <c r="CQ14" i="30"/>
  <c r="CR14" i="30"/>
  <c r="CS14" i="30"/>
  <c r="CT14" i="30"/>
  <c r="CU14" i="30"/>
  <c r="CV14" i="30"/>
  <c r="CW14" i="30"/>
  <c r="CX14" i="30"/>
  <c r="CY14" i="30"/>
  <c r="CZ14" i="30"/>
  <c r="DA14" i="30"/>
  <c r="DB14" i="30"/>
  <c r="DC14" i="30"/>
  <c r="DD14" i="30"/>
  <c r="DE14" i="30"/>
  <c r="DF14" i="30"/>
  <c r="DG14" i="30"/>
  <c r="DH14" i="30"/>
  <c r="DI14" i="30"/>
  <c r="DJ14" i="30"/>
  <c r="DK14" i="30"/>
  <c r="CB15" i="30"/>
  <c r="CC15" i="30"/>
  <c r="CD15" i="30"/>
  <c r="CE15" i="30"/>
  <c r="CF15" i="30"/>
  <c r="CG15" i="30"/>
  <c r="CH15" i="30"/>
  <c r="CI15" i="30"/>
  <c r="CJ15" i="30"/>
  <c r="CK15" i="30"/>
  <c r="CL15" i="30"/>
  <c r="CM15" i="30"/>
  <c r="CN15" i="30"/>
  <c r="CO15" i="30"/>
  <c r="CP15" i="30"/>
  <c r="CQ15" i="30"/>
  <c r="CR15" i="30"/>
  <c r="CS15" i="30"/>
  <c r="CT15" i="30"/>
  <c r="CU15" i="30"/>
  <c r="CV15" i="30"/>
  <c r="CW15" i="30"/>
  <c r="CX15" i="30"/>
  <c r="CY15" i="30"/>
  <c r="CZ15" i="30"/>
  <c r="DA15" i="30"/>
  <c r="DB15" i="30"/>
  <c r="DC15" i="30"/>
  <c r="DD15" i="30"/>
  <c r="DE15" i="30"/>
  <c r="DF15" i="30"/>
  <c r="DG15" i="30"/>
  <c r="DH15" i="30"/>
  <c r="DI15" i="30"/>
  <c r="DJ15" i="30"/>
  <c r="DK15" i="30"/>
  <c r="CB16" i="30"/>
  <c r="CC16" i="30"/>
  <c r="CD16" i="30"/>
  <c r="CE16" i="30"/>
  <c r="CF16" i="30"/>
  <c r="CG16" i="30"/>
  <c r="CH16" i="30"/>
  <c r="CI16" i="30"/>
  <c r="CJ16" i="30"/>
  <c r="CK16" i="30"/>
  <c r="CL16" i="30"/>
  <c r="CM16" i="30"/>
  <c r="CN16" i="30"/>
  <c r="CO16" i="30"/>
  <c r="CP16" i="30"/>
  <c r="CQ16" i="30"/>
  <c r="CR16" i="30"/>
  <c r="CS16" i="30"/>
  <c r="CT16" i="30"/>
  <c r="CU16" i="30"/>
  <c r="CV16" i="30"/>
  <c r="CW16" i="30"/>
  <c r="CX16" i="30"/>
  <c r="CY16" i="30"/>
  <c r="CZ16" i="30"/>
  <c r="DA16" i="30"/>
  <c r="DB16" i="30"/>
  <c r="DC16" i="30"/>
  <c r="DD16" i="30"/>
  <c r="DE16" i="30"/>
  <c r="DF16" i="30"/>
  <c r="DG16" i="30"/>
  <c r="DH16" i="30"/>
  <c r="DI16" i="30"/>
  <c r="DJ16" i="30"/>
  <c r="DK16" i="30"/>
  <c r="CB17" i="30"/>
  <c r="CC17" i="30"/>
  <c r="CD17" i="30"/>
  <c r="CE17" i="30"/>
  <c r="CF17" i="30"/>
  <c r="CG17" i="30"/>
  <c r="CH17" i="30"/>
  <c r="CI17" i="30"/>
  <c r="CJ17" i="30"/>
  <c r="CK17" i="30"/>
  <c r="CL17" i="30"/>
  <c r="CM17" i="30"/>
  <c r="CN17" i="30"/>
  <c r="CO17" i="30"/>
  <c r="CP17" i="30"/>
  <c r="CQ17" i="30"/>
  <c r="CR17" i="30"/>
  <c r="CS17" i="30"/>
  <c r="CT17" i="30"/>
  <c r="CU17" i="30"/>
  <c r="CV17" i="30"/>
  <c r="CW17" i="30"/>
  <c r="CX17" i="30"/>
  <c r="CY17" i="30"/>
  <c r="CZ17" i="30"/>
  <c r="DA17" i="30"/>
  <c r="DB17" i="30"/>
  <c r="DC17" i="30"/>
  <c r="DD17" i="30"/>
  <c r="DE17" i="30"/>
  <c r="DF17" i="30"/>
  <c r="DG17" i="30"/>
  <c r="DH17" i="30"/>
  <c r="DI17" i="30"/>
  <c r="DJ17" i="30"/>
  <c r="DK17" i="30"/>
  <c r="CB18" i="30"/>
  <c r="CC18" i="30"/>
  <c r="CD18" i="30"/>
  <c r="CE18" i="30"/>
  <c r="CF18" i="30"/>
  <c r="CG18" i="30"/>
  <c r="CH18" i="30"/>
  <c r="CI18" i="30"/>
  <c r="CJ18" i="30"/>
  <c r="CK18" i="30"/>
  <c r="CL18" i="30"/>
  <c r="CM18" i="30"/>
  <c r="CN18" i="30"/>
  <c r="CO18" i="30"/>
  <c r="CP18" i="30"/>
  <c r="CQ18" i="30"/>
  <c r="CR18" i="30"/>
  <c r="CS18" i="30"/>
  <c r="CT18" i="30"/>
  <c r="CU18" i="30"/>
  <c r="CV18" i="30"/>
  <c r="CW18" i="30"/>
  <c r="CX18" i="30"/>
  <c r="CY18" i="30"/>
  <c r="CZ18" i="30"/>
  <c r="DA18" i="30"/>
  <c r="DB18" i="30"/>
  <c r="DC18" i="30"/>
  <c r="DD18" i="30"/>
  <c r="DE18" i="30"/>
  <c r="DF18" i="30"/>
  <c r="DG18" i="30"/>
  <c r="DH18" i="30"/>
  <c r="DI18" i="30"/>
  <c r="DJ18" i="30"/>
  <c r="DK18" i="30"/>
  <c r="CB19" i="30"/>
  <c r="CC19" i="30"/>
  <c r="CD19" i="30"/>
  <c r="CE19" i="30"/>
  <c r="CF19" i="30"/>
  <c r="CG19" i="30"/>
  <c r="CH19" i="30"/>
  <c r="CI19" i="30"/>
  <c r="CJ19" i="30"/>
  <c r="CK19" i="30"/>
  <c r="CL19" i="30"/>
  <c r="CM19" i="30"/>
  <c r="CN19" i="30"/>
  <c r="CO19" i="30"/>
  <c r="CP19" i="30"/>
  <c r="CQ19" i="30"/>
  <c r="CR19" i="30"/>
  <c r="CS19" i="30"/>
  <c r="CT19" i="30"/>
  <c r="CU19" i="30"/>
  <c r="CV19" i="30"/>
  <c r="CW19" i="30"/>
  <c r="CX19" i="30"/>
  <c r="CY19" i="30"/>
  <c r="CZ19" i="30"/>
  <c r="DA19" i="30"/>
  <c r="DB19" i="30"/>
  <c r="DC19" i="30"/>
  <c r="DD19" i="30"/>
  <c r="DE19" i="30"/>
  <c r="DF19" i="30"/>
  <c r="DG19" i="30"/>
  <c r="DH19" i="30"/>
  <c r="DI19" i="30"/>
  <c r="DJ19" i="30"/>
  <c r="DK19" i="30"/>
  <c r="CB20" i="30"/>
  <c r="CC20" i="30"/>
  <c r="CD20" i="30"/>
  <c r="CE20" i="30"/>
  <c r="CF20" i="30"/>
  <c r="CG20" i="30"/>
  <c r="CH20" i="30"/>
  <c r="CI20" i="30"/>
  <c r="CJ20" i="30"/>
  <c r="CK20" i="30"/>
  <c r="CL20" i="30"/>
  <c r="CM20" i="30"/>
  <c r="CN20" i="30"/>
  <c r="CO20" i="30"/>
  <c r="CP20" i="30"/>
  <c r="CQ20" i="30"/>
  <c r="CR20" i="30"/>
  <c r="CS20" i="30"/>
  <c r="CT20" i="30"/>
  <c r="CU20" i="30"/>
  <c r="CV20" i="30"/>
  <c r="CW20" i="30"/>
  <c r="CX20" i="30"/>
  <c r="CY20" i="30"/>
  <c r="CZ20" i="30"/>
  <c r="DA20" i="30"/>
  <c r="DB20" i="30"/>
  <c r="DC20" i="30"/>
  <c r="DD20" i="30"/>
  <c r="DE20" i="30"/>
  <c r="DF20" i="30"/>
  <c r="DG20" i="30"/>
  <c r="DH20" i="30"/>
  <c r="DI20" i="30"/>
  <c r="DJ20" i="30"/>
  <c r="DK20" i="30"/>
  <c r="CB21" i="30"/>
  <c r="CC21" i="30"/>
  <c r="CD21" i="30"/>
  <c r="CE21" i="30"/>
  <c r="CF21" i="30"/>
  <c r="CG21" i="30"/>
  <c r="CH21" i="30"/>
  <c r="CI21" i="30"/>
  <c r="CJ21" i="30"/>
  <c r="CK21" i="30"/>
  <c r="CL21" i="30"/>
  <c r="CM21" i="30"/>
  <c r="CN21" i="30"/>
  <c r="CO21" i="30"/>
  <c r="CP21" i="30"/>
  <c r="CQ21" i="30"/>
  <c r="CR21" i="30"/>
  <c r="CS21" i="30"/>
  <c r="CT21" i="30"/>
  <c r="CU21" i="30"/>
  <c r="CV21" i="30"/>
  <c r="CW21" i="30"/>
  <c r="CX21" i="30"/>
  <c r="CY21" i="30"/>
  <c r="CZ21" i="30"/>
  <c r="DA21" i="30"/>
  <c r="DB21" i="30"/>
  <c r="DC21" i="30"/>
  <c r="DD21" i="30"/>
  <c r="DE21" i="30"/>
  <c r="DF21" i="30"/>
  <c r="DG21" i="30"/>
  <c r="DH21" i="30"/>
  <c r="DI21" i="30"/>
  <c r="DJ21" i="30"/>
  <c r="DK21" i="30"/>
  <c r="CB22" i="30"/>
  <c r="CC22" i="30"/>
  <c r="CD22" i="30"/>
  <c r="CE22" i="30"/>
  <c r="CF22" i="30"/>
  <c r="CG22" i="30"/>
  <c r="CH22" i="30"/>
  <c r="CI22" i="30"/>
  <c r="DT22" i="30" s="1"/>
  <c r="CJ22" i="30"/>
  <c r="CK22" i="30"/>
  <c r="CL22" i="30"/>
  <c r="CM22" i="30"/>
  <c r="CN22" i="30"/>
  <c r="CO22" i="30"/>
  <c r="CP22" i="30"/>
  <c r="CQ22" i="30"/>
  <c r="CR22" i="30"/>
  <c r="CS22" i="30"/>
  <c r="CT22" i="30"/>
  <c r="CU22" i="30"/>
  <c r="CV22" i="30"/>
  <c r="DU22" i="30" s="1"/>
  <c r="CW22" i="30"/>
  <c r="CX22" i="30"/>
  <c r="CY22" i="30"/>
  <c r="CZ22" i="30"/>
  <c r="DA22" i="30"/>
  <c r="DB22" i="30"/>
  <c r="DC22" i="30"/>
  <c r="DD22" i="30"/>
  <c r="DE22" i="30"/>
  <c r="DF22" i="30"/>
  <c r="DG22" i="30"/>
  <c r="DH22" i="30"/>
  <c r="DI22" i="30"/>
  <c r="DV22" i="30" s="1"/>
  <c r="DJ22" i="30"/>
  <c r="DK22" i="30"/>
  <c r="CB24" i="30"/>
  <c r="CC24" i="30"/>
  <c r="CD24" i="30"/>
  <c r="CE24" i="30"/>
  <c r="CF24" i="30"/>
  <c r="CG24" i="30"/>
  <c r="CH24" i="30"/>
  <c r="CI24" i="30"/>
  <c r="CJ24" i="30"/>
  <c r="CK24" i="30"/>
  <c r="CL24" i="30"/>
  <c r="CM24" i="30"/>
  <c r="CN24" i="30"/>
  <c r="CO24" i="30"/>
  <c r="CP24" i="30"/>
  <c r="CQ24" i="30"/>
  <c r="CR24" i="30"/>
  <c r="CS24" i="30"/>
  <c r="CT24" i="30"/>
  <c r="CU24" i="30"/>
  <c r="CV24" i="30"/>
  <c r="CW24" i="30"/>
  <c r="CX24" i="30"/>
  <c r="CY24" i="30"/>
  <c r="CZ24" i="30"/>
  <c r="DA24" i="30"/>
  <c r="DB24" i="30"/>
  <c r="DC24" i="30"/>
  <c r="DD24" i="30"/>
  <c r="DE24" i="30"/>
  <c r="DF24" i="30"/>
  <c r="DG24" i="30"/>
  <c r="DH24" i="30"/>
  <c r="DI24" i="30"/>
  <c r="DJ24" i="30"/>
  <c r="DK24" i="30"/>
  <c r="CB25" i="30"/>
  <c r="CC25" i="30"/>
  <c r="CD25" i="30"/>
  <c r="CE25" i="30"/>
  <c r="CF25" i="30"/>
  <c r="CG25" i="30"/>
  <c r="CH25" i="30"/>
  <c r="CI25" i="30"/>
  <c r="CJ25" i="30"/>
  <c r="CK25" i="30"/>
  <c r="CL25" i="30"/>
  <c r="CM25" i="30"/>
  <c r="CN25" i="30"/>
  <c r="CO25" i="30"/>
  <c r="CP25" i="30"/>
  <c r="CQ25" i="30"/>
  <c r="CR25" i="30"/>
  <c r="CS25" i="30"/>
  <c r="CT25" i="30"/>
  <c r="CU25" i="30"/>
  <c r="CV25" i="30"/>
  <c r="CW25" i="30"/>
  <c r="CX25" i="30"/>
  <c r="CY25" i="30"/>
  <c r="CZ25" i="30"/>
  <c r="DA25" i="30"/>
  <c r="DB25" i="30"/>
  <c r="DC25" i="30"/>
  <c r="DD25" i="30"/>
  <c r="DE25" i="30"/>
  <c r="DF25" i="30"/>
  <c r="DG25" i="30"/>
  <c r="DH25" i="30"/>
  <c r="DI25" i="30"/>
  <c r="DJ25" i="30"/>
  <c r="DK25" i="30"/>
  <c r="CB26" i="30"/>
  <c r="CC26" i="30"/>
  <c r="CD26" i="30"/>
  <c r="CE26" i="30"/>
  <c r="CF26" i="30"/>
  <c r="CG26" i="30"/>
  <c r="CH26" i="30"/>
  <c r="CI26" i="30"/>
  <c r="CJ26" i="30"/>
  <c r="CK26" i="30"/>
  <c r="CL26" i="30"/>
  <c r="CM26" i="30"/>
  <c r="CN26" i="30"/>
  <c r="CO26" i="30"/>
  <c r="CP26" i="30"/>
  <c r="CQ26" i="30"/>
  <c r="CR26" i="30"/>
  <c r="CS26" i="30"/>
  <c r="CT26" i="30"/>
  <c r="CU26" i="30"/>
  <c r="CV26" i="30"/>
  <c r="CW26" i="30"/>
  <c r="CX26" i="30"/>
  <c r="CY26" i="30"/>
  <c r="CZ26" i="30"/>
  <c r="DA26" i="30"/>
  <c r="DB26" i="30"/>
  <c r="DC26" i="30"/>
  <c r="DD26" i="30"/>
  <c r="DE26" i="30"/>
  <c r="DF26" i="30"/>
  <c r="DG26" i="30"/>
  <c r="DH26" i="30"/>
  <c r="DI26" i="30"/>
  <c r="DJ26" i="30"/>
  <c r="DK26" i="30"/>
  <c r="CB27" i="30"/>
  <c r="CC27" i="30"/>
  <c r="CD27" i="30"/>
  <c r="CE27" i="30"/>
  <c r="CF27" i="30"/>
  <c r="CG27" i="30"/>
  <c r="CH27" i="30"/>
  <c r="CI27" i="30"/>
  <c r="CJ27" i="30"/>
  <c r="CK27" i="30"/>
  <c r="CL27" i="30"/>
  <c r="CM27" i="30"/>
  <c r="CN27" i="30"/>
  <c r="CO27" i="30"/>
  <c r="CP27" i="30"/>
  <c r="CQ27" i="30"/>
  <c r="CR27" i="30"/>
  <c r="CS27" i="30"/>
  <c r="CT27" i="30"/>
  <c r="CU27" i="30"/>
  <c r="CV27" i="30"/>
  <c r="CW27" i="30"/>
  <c r="CX27" i="30"/>
  <c r="CY27" i="30"/>
  <c r="CZ27" i="30"/>
  <c r="DA27" i="30"/>
  <c r="DB27" i="30"/>
  <c r="DC27" i="30"/>
  <c r="DD27" i="30"/>
  <c r="DE27" i="30"/>
  <c r="DF27" i="30"/>
  <c r="DG27" i="30"/>
  <c r="DH27" i="30"/>
  <c r="DI27" i="30"/>
  <c r="DJ27" i="30"/>
  <c r="DK27" i="30"/>
  <c r="CB28" i="30"/>
  <c r="CC28" i="30"/>
  <c r="CD28" i="30"/>
  <c r="CE28" i="30"/>
  <c r="CF28" i="30"/>
  <c r="CG28" i="30"/>
  <c r="CH28" i="30"/>
  <c r="CI28" i="30"/>
  <c r="CJ28" i="30"/>
  <c r="CK28" i="30"/>
  <c r="CL28" i="30"/>
  <c r="CM28" i="30"/>
  <c r="CN28" i="30"/>
  <c r="CO28" i="30"/>
  <c r="CP28" i="30"/>
  <c r="CQ28" i="30"/>
  <c r="CR28" i="30"/>
  <c r="CS28" i="30"/>
  <c r="CT28" i="30"/>
  <c r="CU28" i="30"/>
  <c r="CV28" i="30"/>
  <c r="CW28" i="30"/>
  <c r="CX28" i="30"/>
  <c r="CY28" i="30"/>
  <c r="CZ28" i="30"/>
  <c r="DA28" i="30"/>
  <c r="DB28" i="30"/>
  <c r="DC28" i="30"/>
  <c r="DD28" i="30"/>
  <c r="DE28" i="30"/>
  <c r="DF28" i="30"/>
  <c r="DG28" i="30"/>
  <c r="DH28" i="30"/>
  <c r="DI28" i="30"/>
  <c r="DJ28" i="30"/>
  <c r="DK28" i="30"/>
  <c r="CB47" i="30"/>
  <c r="CC47" i="30"/>
  <c r="CD47" i="30"/>
  <c r="CE47" i="30"/>
  <c r="CF47" i="30"/>
  <c r="CG47" i="30"/>
  <c r="CH47" i="30"/>
  <c r="CI47" i="30"/>
  <c r="CJ47" i="30"/>
  <c r="CK47" i="30"/>
  <c r="CL47" i="30"/>
  <c r="CM47" i="30"/>
  <c r="CN47" i="30"/>
  <c r="CO47" i="30"/>
  <c r="CP47" i="30"/>
  <c r="CQ47" i="30"/>
  <c r="CR47" i="30"/>
  <c r="CS47" i="30"/>
  <c r="CT47" i="30"/>
  <c r="CU47" i="30"/>
  <c r="CV47" i="30"/>
  <c r="CW47" i="30"/>
  <c r="CX47" i="30"/>
  <c r="CY47" i="30"/>
  <c r="CZ47" i="30"/>
  <c r="DA47" i="30"/>
  <c r="DB47" i="30"/>
  <c r="DC47" i="30"/>
  <c r="DD47" i="30"/>
  <c r="DE47" i="30"/>
  <c r="DF47" i="30"/>
  <c r="DG47" i="30"/>
  <c r="DH47" i="30"/>
  <c r="DI47" i="30"/>
  <c r="DJ47" i="30"/>
  <c r="DK47" i="30"/>
  <c r="CB48" i="30"/>
  <c r="CC48" i="30"/>
  <c r="CD48" i="30"/>
  <c r="CE48" i="30"/>
  <c r="CF48" i="30"/>
  <c r="CG48" i="30"/>
  <c r="CH48" i="30"/>
  <c r="CI48" i="30"/>
  <c r="CJ48" i="30"/>
  <c r="CK48" i="30"/>
  <c r="CL48" i="30"/>
  <c r="CM48" i="30"/>
  <c r="CN48" i="30"/>
  <c r="CO48" i="30"/>
  <c r="CP48" i="30"/>
  <c r="CQ48" i="30"/>
  <c r="CR48" i="30"/>
  <c r="CS48" i="30"/>
  <c r="CT48" i="30"/>
  <c r="CU48" i="30"/>
  <c r="CV48" i="30"/>
  <c r="CW48" i="30"/>
  <c r="CX48" i="30"/>
  <c r="CY48" i="30"/>
  <c r="CZ48" i="30"/>
  <c r="DA48" i="30"/>
  <c r="DB48" i="30"/>
  <c r="DC48" i="30"/>
  <c r="DD48" i="30"/>
  <c r="DE48" i="30"/>
  <c r="DF48" i="30"/>
  <c r="DG48" i="30"/>
  <c r="DH48" i="30"/>
  <c r="DI48" i="30"/>
  <c r="DJ48" i="30"/>
  <c r="DK48" i="30"/>
  <c r="CB49" i="30"/>
  <c r="CC49" i="30"/>
  <c r="CD49" i="30"/>
  <c r="CE49" i="30"/>
  <c r="CF49" i="30"/>
  <c r="CG49" i="30"/>
  <c r="CH49" i="30"/>
  <c r="CI49" i="30"/>
  <c r="CJ49" i="30"/>
  <c r="CK49" i="30"/>
  <c r="CL49" i="30"/>
  <c r="CM49" i="30"/>
  <c r="CN49" i="30"/>
  <c r="CO49" i="30"/>
  <c r="CP49" i="30"/>
  <c r="CQ49" i="30"/>
  <c r="CR49" i="30"/>
  <c r="CS49" i="30"/>
  <c r="CT49" i="30"/>
  <c r="CU49" i="30"/>
  <c r="CV49" i="30"/>
  <c r="CW49" i="30"/>
  <c r="CX49" i="30"/>
  <c r="CY49" i="30"/>
  <c r="CZ49" i="30"/>
  <c r="DA49" i="30"/>
  <c r="DB49" i="30"/>
  <c r="DC49" i="30"/>
  <c r="DD49" i="30"/>
  <c r="DE49" i="30"/>
  <c r="DF49" i="30"/>
  <c r="DG49" i="30"/>
  <c r="DH49" i="30"/>
  <c r="DI49" i="30"/>
  <c r="DJ49" i="30"/>
  <c r="DK49" i="30"/>
  <c r="CB50" i="30"/>
  <c r="CC50" i="30"/>
  <c r="CD50" i="30"/>
  <c r="CE50" i="30"/>
  <c r="CF50" i="30"/>
  <c r="CG50" i="30"/>
  <c r="CH50" i="30"/>
  <c r="CI50" i="30"/>
  <c r="CJ50" i="30"/>
  <c r="CK50" i="30"/>
  <c r="CL50" i="30"/>
  <c r="CM50" i="30"/>
  <c r="CN50" i="30"/>
  <c r="CO50" i="30"/>
  <c r="CP50" i="30"/>
  <c r="CQ50" i="30"/>
  <c r="CR50" i="30"/>
  <c r="CS50" i="30"/>
  <c r="CT50" i="30"/>
  <c r="CU50" i="30"/>
  <c r="CV50" i="30"/>
  <c r="CW50" i="30"/>
  <c r="CX50" i="30"/>
  <c r="CY50" i="30"/>
  <c r="CZ50" i="30"/>
  <c r="DA50" i="30"/>
  <c r="DB50" i="30"/>
  <c r="DC50" i="30"/>
  <c r="DD50" i="30"/>
  <c r="DE50" i="30"/>
  <c r="DF50" i="30"/>
  <c r="DG50" i="30"/>
  <c r="DH50" i="30"/>
  <c r="DI50" i="30"/>
  <c r="DJ50" i="30"/>
  <c r="DK50" i="30"/>
  <c r="CB51" i="30"/>
  <c r="CC51" i="30"/>
  <c r="CD51" i="30"/>
  <c r="CE51" i="30"/>
  <c r="CF51" i="30"/>
  <c r="CG51" i="30"/>
  <c r="CH51" i="30"/>
  <c r="CI51" i="30"/>
  <c r="CJ51" i="30"/>
  <c r="CK51" i="30"/>
  <c r="CL51" i="30"/>
  <c r="CM51" i="30"/>
  <c r="CN51" i="30"/>
  <c r="CO51" i="30"/>
  <c r="CP51" i="30"/>
  <c r="CQ51" i="30"/>
  <c r="CR51" i="30"/>
  <c r="CS51" i="30"/>
  <c r="CT51" i="30"/>
  <c r="CU51" i="30"/>
  <c r="CV51" i="30"/>
  <c r="CW51" i="30"/>
  <c r="CX51" i="30"/>
  <c r="CY51" i="30"/>
  <c r="CZ51" i="30"/>
  <c r="DA51" i="30"/>
  <c r="DB51" i="30"/>
  <c r="DC51" i="30"/>
  <c r="DD51" i="30"/>
  <c r="DE51" i="30"/>
  <c r="DF51" i="30"/>
  <c r="DG51" i="30"/>
  <c r="DH51" i="30"/>
  <c r="DI51" i="30"/>
  <c r="DJ51" i="30"/>
  <c r="DK51" i="30"/>
  <c r="CB52" i="30"/>
  <c r="CC52" i="30"/>
  <c r="CD52" i="30"/>
  <c r="CE52" i="30"/>
  <c r="CF52" i="30"/>
  <c r="CG52" i="30"/>
  <c r="CH52" i="30"/>
  <c r="CI52" i="30"/>
  <c r="CJ52" i="30"/>
  <c r="CK52" i="30"/>
  <c r="CL52" i="30"/>
  <c r="CM52" i="30"/>
  <c r="CN52" i="30"/>
  <c r="CO52" i="30"/>
  <c r="CP52" i="30"/>
  <c r="CQ52" i="30"/>
  <c r="CR52" i="30"/>
  <c r="CS52" i="30"/>
  <c r="CT52" i="30"/>
  <c r="CU52" i="30"/>
  <c r="CV52" i="30"/>
  <c r="CW52" i="30"/>
  <c r="CX52" i="30"/>
  <c r="CY52" i="30"/>
  <c r="CZ52" i="30"/>
  <c r="DA52" i="30"/>
  <c r="DB52" i="30"/>
  <c r="DC52" i="30"/>
  <c r="DD52" i="30"/>
  <c r="DE52" i="30"/>
  <c r="DF52" i="30"/>
  <c r="DG52" i="30"/>
  <c r="DH52" i="30"/>
  <c r="DI52" i="30"/>
  <c r="DJ52" i="30"/>
  <c r="DK52" i="30"/>
  <c r="CB53" i="30"/>
  <c r="CC53" i="30"/>
  <c r="CD53" i="30"/>
  <c r="CE53" i="30"/>
  <c r="CF53" i="30"/>
  <c r="CG53" i="30"/>
  <c r="CH53" i="30"/>
  <c r="CI53" i="30"/>
  <c r="CJ53" i="30"/>
  <c r="CK53" i="30"/>
  <c r="CL53" i="30"/>
  <c r="CM53" i="30"/>
  <c r="CN53" i="30"/>
  <c r="CO53" i="30"/>
  <c r="CP53" i="30"/>
  <c r="CQ53" i="30"/>
  <c r="CR53" i="30"/>
  <c r="CS53" i="30"/>
  <c r="CT53" i="30"/>
  <c r="CU53" i="30"/>
  <c r="CV53" i="30"/>
  <c r="CW53" i="30"/>
  <c r="CX53" i="30"/>
  <c r="CY53" i="30"/>
  <c r="CZ53" i="30"/>
  <c r="DA53" i="30"/>
  <c r="DB53" i="30"/>
  <c r="DC53" i="30"/>
  <c r="DD53" i="30"/>
  <c r="DE53" i="30"/>
  <c r="DF53" i="30"/>
  <c r="DG53" i="30"/>
  <c r="DH53" i="30"/>
  <c r="DI53" i="30"/>
  <c r="DJ53" i="30"/>
  <c r="DK53" i="30"/>
  <c r="CB54" i="30"/>
  <c r="CC54" i="30"/>
  <c r="CD54" i="30"/>
  <c r="CE54" i="30"/>
  <c r="CF54" i="30"/>
  <c r="CG54" i="30"/>
  <c r="CH54" i="30"/>
  <c r="CI54" i="30"/>
  <c r="CJ54" i="30"/>
  <c r="CK54" i="30"/>
  <c r="CL54" i="30"/>
  <c r="CM54" i="30"/>
  <c r="CN54" i="30"/>
  <c r="CO54" i="30"/>
  <c r="CP54" i="30"/>
  <c r="CQ54" i="30"/>
  <c r="CR54" i="30"/>
  <c r="CS54" i="30"/>
  <c r="CT54" i="30"/>
  <c r="CU54" i="30"/>
  <c r="CV54" i="30"/>
  <c r="CW54" i="30"/>
  <c r="CX54" i="30"/>
  <c r="CY54" i="30"/>
  <c r="CZ54" i="30"/>
  <c r="DA54" i="30"/>
  <c r="DB54" i="30"/>
  <c r="DC54" i="30"/>
  <c r="DD54" i="30"/>
  <c r="DE54" i="30"/>
  <c r="DF54" i="30"/>
  <c r="DG54" i="30"/>
  <c r="DH54" i="30"/>
  <c r="DI54" i="30"/>
  <c r="DJ54" i="30"/>
  <c r="DK54" i="30"/>
  <c r="CB55" i="30"/>
  <c r="CC55" i="30"/>
  <c r="CD55" i="30"/>
  <c r="CE55" i="30"/>
  <c r="CF55" i="30"/>
  <c r="CG55" i="30"/>
  <c r="CH55" i="30"/>
  <c r="CI55" i="30"/>
  <c r="CJ55" i="30"/>
  <c r="CK55" i="30"/>
  <c r="CL55" i="30"/>
  <c r="CM55" i="30"/>
  <c r="CN55" i="30"/>
  <c r="CO55" i="30"/>
  <c r="CP55" i="30"/>
  <c r="CQ55" i="30"/>
  <c r="CR55" i="30"/>
  <c r="CS55" i="30"/>
  <c r="CT55" i="30"/>
  <c r="CU55" i="30"/>
  <c r="CV55" i="30"/>
  <c r="CW55" i="30"/>
  <c r="CX55" i="30"/>
  <c r="CY55" i="30"/>
  <c r="CZ55" i="30"/>
  <c r="DA55" i="30"/>
  <c r="DB55" i="30"/>
  <c r="DC55" i="30"/>
  <c r="DD55" i="30"/>
  <c r="DE55" i="30"/>
  <c r="DF55" i="30"/>
  <c r="DG55" i="30"/>
  <c r="DH55" i="30"/>
  <c r="DI55" i="30"/>
  <c r="DJ55" i="30"/>
  <c r="DK55" i="30"/>
  <c r="CB58" i="30"/>
  <c r="CC58" i="30"/>
  <c r="CD58" i="30"/>
  <c r="CE58" i="30"/>
  <c r="CF58" i="30"/>
  <c r="CG58" i="30"/>
  <c r="CH58" i="30"/>
  <c r="CI58" i="30"/>
  <c r="CJ58" i="30"/>
  <c r="CK58" i="30"/>
  <c r="CL58" i="30"/>
  <c r="CM58" i="30"/>
  <c r="CN58" i="30"/>
  <c r="CO58" i="30"/>
  <c r="CP58" i="30"/>
  <c r="CQ58" i="30"/>
  <c r="CR58" i="30"/>
  <c r="CS58" i="30"/>
  <c r="CT58" i="30"/>
  <c r="CU58" i="30"/>
  <c r="CV58" i="30"/>
  <c r="CW58" i="30"/>
  <c r="CX58" i="30"/>
  <c r="CY58" i="30"/>
  <c r="CZ58" i="30"/>
  <c r="DA58" i="30"/>
  <c r="DB58" i="30"/>
  <c r="DC58" i="30"/>
  <c r="DD58" i="30"/>
  <c r="DE58" i="30"/>
  <c r="DF58" i="30"/>
  <c r="DG58" i="30"/>
  <c r="DH58" i="30"/>
  <c r="DI58" i="30"/>
  <c r="DJ58" i="30"/>
  <c r="DK58" i="30"/>
  <c r="CB59" i="30"/>
  <c r="CC59" i="30"/>
  <c r="CD59" i="30"/>
  <c r="CE59" i="30"/>
  <c r="CF59" i="30"/>
  <c r="CG59" i="30"/>
  <c r="CH59" i="30"/>
  <c r="CI59" i="30"/>
  <c r="CJ59" i="30"/>
  <c r="CK59" i="30"/>
  <c r="CL59" i="30"/>
  <c r="CM59" i="30"/>
  <c r="CN59" i="30"/>
  <c r="CO59" i="30"/>
  <c r="CP59" i="30"/>
  <c r="CQ59" i="30"/>
  <c r="CR59" i="30"/>
  <c r="CS59" i="30"/>
  <c r="CT59" i="30"/>
  <c r="CU59" i="30"/>
  <c r="CV59" i="30"/>
  <c r="CW59" i="30"/>
  <c r="CX59" i="30"/>
  <c r="CY59" i="30"/>
  <c r="CZ59" i="30"/>
  <c r="DA59" i="30"/>
  <c r="DB59" i="30"/>
  <c r="DC59" i="30"/>
  <c r="DD59" i="30"/>
  <c r="DE59" i="30"/>
  <c r="DF59" i="30"/>
  <c r="DG59" i="30"/>
  <c r="DH59" i="30"/>
  <c r="DI59" i="30"/>
  <c r="DJ59" i="30"/>
  <c r="DK59" i="30"/>
  <c r="CB60" i="30"/>
  <c r="CC60" i="30"/>
  <c r="CD60" i="30"/>
  <c r="CE60" i="30"/>
  <c r="CF60" i="30"/>
  <c r="CG60" i="30"/>
  <c r="CH60" i="30"/>
  <c r="CI60" i="30"/>
  <c r="CJ60" i="30"/>
  <c r="CK60" i="30"/>
  <c r="CL60" i="30"/>
  <c r="CM60" i="30"/>
  <c r="CN60" i="30"/>
  <c r="CO60" i="30"/>
  <c r="CP60" i="30"/>
  <c r="CQ60" i="30"/>
  <c r="CR60" i="30"/>
  <c r="CS60" i="30"/>
  <c r="CT60" i="30"/>
  <c r="CU60" i="30"/>
  <c r="CV60" i="30"/>
  <c r="CW60" i="30"/>
  <c r="CX60" i="30"/>
  <c r="CY60" i="30"/>
  <c r="CZ60" i="30"/>
  <c r="DA60" i="30"/>
  <c r="DB60" i="30"/>
  <c r="DC60" i="30"/>
  <c r="DD60" i="30"/>
  <c r="DE60" i="30"/>
  <c r="DF60" i="30"/>
  <c r="DG60" i="30"/>
  <c r="DH60" i="30"/>
  <c r="DI60" i="30"/>
  <c r="DJ60" i="30"/>
  <c r="DK60" i="30"/>
  <c r="CB61" i="30"/>
  <c r="EV61" i="30" s="1"/>
  <c r="CC61" i="30"/>
  <c r="CD61" i="30"/>
  <c r="CE61" i="30"/>
  <c r="CF61" i="30"/>
  <c r="CG61" i="30"/>
  <c r="CH61" i="30"/>
  <c r="CI61" i="30"/>
  <c r="CJ61" i="30"/>
  <c r="CK61" i="30"/>
  <c r="CL61" i="30"/>
  <c r="CM61" i="30"/>
  <c r="CN61" i="30"/>
  <c r="EW61" i="30" s="1"/>
  <c r="CO61" i="30"/>
  <c r="CP61" i="30"/>
  <c r="CQ61" i="30"/>
  <c r="CR61" i="30"/>
  <c r="CS61" i="30"/>
  <c r="CT61" i="30"/>
  <c r="CU61" i="30"/>
  <c r="CV61" i="30"/>
  <c r="CW61" i="30"/>
  <c r="CX61" i="30"/>
  <c r="CY61" i="30"/>
  <c r="CZ61" i="30"/>
  <c r="EX61" i="30" s="1"/>
  <c r="DA61" i="30"/>
  <c r="DB61" i="30"/>
  <c r="DC61" i="30"/>
  <c r="DD61" i="30"/>
  <c r="DE61" i="30"/>
  <c r="DF61" i="30"/>
  <c r="DG61" i="30"/>
  <c r="DH61" i="30"/>
  <c r="DI61" i="30"/>
  <c r="DJ61" i="30"/>
  <c r="DK61" i="30"/>
  <c r="CB62" i="30"/>
  <c r="CC62" i="30"/>
  <c r="CD62" i="30"/>
  <c r="CE62" i="30"/>
  <c r="CF62" i="30"/>
  <c r="CG62" i="30"/>
  <c r="CH62" i="30"/>
  <c r="CI62" i="30"/>
  <c r="CJ62" i="30"/>
  <c r="CK62" i="30"/>
  <c r="CL62" i="30"/>
  <c r="CM62" i="30"/>
  <c r="CN62" i="30"/>
  <c r="CO62" i="30"/>
  <c r="CP62" i="30"/>
  <c r="CQ62" i="30"/>
  <c r="CR62" i="30"/>
  <c r="CS62" i="30"/>
  <c r="CT62" i="30"/>
  <c r="CU62" i="30"/>
  <c r="CV62" i="30"/>
  <c r="CW62" i="30"/>
  <c r="CX62" i="30"/>
  <c r="CY62" i="30"/>
  <c r="CZ62" i="30"/>
  <c r="DA62" i="30"/>
  <c r="DB62" i="30"/>
  <c r="DC62" i="30"/>
  <c r="DD62" i="30"/>
  <c r="DE62" i="30"/>
  <c r="DF62" i="30"/>
  <c r="DG62" i="30"/>
  <c r="DH62" i="30"/>
  <c r="DI62" i="30"/>
  <c r="DJ62" i="30"/>
  <c r="DK62" i="30"/>
  <c r="CB63" i="30"/>
  <c r="CC63" i="30"/>
  <c r="CD63" i="30"/>
  <c r="CE63" i="30"/>
  <c r="CF63" i="30"/>
  <c r="CG63" i="30"/>
  <c r="CH63" i="30"/>
  <c r="CI63" i="30"/>
  <c r="CJ63" i="30"/>
  <c r="CK63" i="30"/>
  <c r="CL63" i="30"/>
  <c r="CM63" i="30"/>
  <c r="CN63" i="30"/>
  <c r="CO63" i="30"/>
  <c r="CP63" i="30"/>
  <c r="CQ63" i="30"/>
  <c r="CR63" i="30"/>
  <c r="CS63" i="30"/>
  <c r="CT63" i="30"/>
  <c r="CU63" i="30"/>
  <c r="CV63" i="30"/>
  <c r="CW63" i="30"/>
  <c r="CX63" i="30"/>
  <c r="CY63" i="30"/>
  <c r="CZ63" i="30"/>
  <c r="DA63" i="30"/>
  <c r="DB63" i="30"/>
  <c r="DC63" i="30"/>
  <c r="DD63" i="30"/>
  <c r="DE63" i="30"/>
  <c r="DF63" i="30"/>
  <c r="DG63" i="30"/>
  <c r="DH63" i="30"/>
  <c r="DI63" i="30"/>
  <c r="DJ63" i="30"/>
  <c r="DK63" i="30"/>
  <c r="CB64" i="30"/>
  <c r="CC64" i="30"/>
  <c r="CD64" i="30"/>
  <c r="CE64" i="30"/>
  <c r="CF64" i="30"/>
  <c r="CG64" i="30"/>
  <c r="CH64" i="30"/>
  <c r="CI64" i="30"/>
  <c r="CJ64" i="30"/>
  <c r="CK64" i="30"/>
  <c r="CL64" i="30"/>
  <c r="CM64" i="30"/>
  <c r="CN64" i="30"/>
  <c r="CO64" i="30"/>
  <c r="CP64" i="30"/>
  <c r="CQ64" i="30"/>
  <c r="CR64" i="30"/>
  <c r="CS64" i="30"/>
  <c r="CT64" i="30"/>
  <c r="CU64" i="30"/>
  <c r="CV64" i="30"/>
  <c r="CW64" i="30"/>
  <c r="CX64" i="30"/>
  <c r="CY64" i="30"/>
  <c r="CZ64" i="30"/>
  <c r="DA64" i="30"/>
  <c r="DB64" i="30"/>
  <c r="DC64" i="30"/>
  <c r="DD64" i="30"/>
  <c r="DE64" i="30"/>
  <c r="DF64" i="30"/>
  <c r="DG64" i="30"/>
  <c r="DH64" i="30"/>
  <c r="DI64" i="30"/>
  <c r="DJ64" i="30"/>
  <c r="DK64" i="30"/>
  <c r="CB65" i="30"/>
  <c r="CC65" i="30"/>
  <c r="CD65" i="30"/>
  <c r="CE65" i="30"/>
  <c r="CF65" i="30"/>
  <c r="CG65" i="30"/>
  <c r="CH65" i="30"/>
  <c r="CI65" i="30"/>
  <c r="CJ65" i="30"/>
  <c r="CK65" i="30"/>
  <c r="CL65" i="30"/>
  <c r="CM65" i="30"/>
  <c r="CN65" i="30"/>
  <c r="CO65" i="30"/>
  <c r="CP65" i="30"/>
  <c r="CQ65" i="30"/>
  <c r="CR65" i="30"/>
  <c r="CS65" i="30"/>
  <c r="CT65" i="30"/>
  <c r="CU65" i="30"/>
  <c r="CV65" i="30"/>
  <c r="CW65" i="30"/>
  <c r="CX65" i="30"/>
  <c r="CY65" i="30"/>
  <c r="CZ65" i="30"/>
  <c r="DA65" i="30"/>
  <c r="DB65" i="30"/>
  <c r="DC65" i="30"/>
  <c r="DD65" i="30"/>
  <c r="DE65" i="30"/>
  <c r="DF65" i="30"/>
  <c r="DG65" i="30"/>
  <c r="DH65" i="30"/>
  <c r="DI65" i="30"/>
  <c r="DJ65" i="30"/>
  <c r="DK65" i="30"/>
  <c r="DT65" i="30" l="1"/>
  <c r="EV65" i="30"/>
  <c r="EW65" i="30"/>
  <c r="EX65" i="30"/>
  <c r="DT71" i="30"/>
  <c r="DT5" i="30"/>
  <c r="G10" i="31"/>
  <c r="EL5" i="30"/>
  <c r="FE5" i="30"/>
  <c r="FN5" i="30"/>
  <c r="EV5" i="30"/>
  <c r="FI65" i="30"/>
  <c r="EZ65" i="30"/>
  <c r="EQ65" i="30"/>
  <c r="FI55" i="30"/>
  <c r="EZ55" i="30"/>
  <c r="EQ55" i="30"/>
  <c r="FI47" i="30"/>
  <c r="EZ47" i="30"/>
  <c r="EQ47" i="30"/>
  <c r="FI20" i="30"/>
  <c r="EZ20" i="30"/>
  <c r="EQ20" i="30"/>
  <c r="FI12" i="30"/>
  <c r="EZ12" i="30"/>
  <c r="EQ12" i="30"/>
  <c r="FI64" i="30"/>
  <c r="EZ64" i="30"/>
  <c r="EQ64" i="30"/>
  <c r="FI54" i="30"/>
  <c r="EZ54" i="30"/>
  <c r="EQ54" i="30"/>
  <c r="FI28" i="30"/>
  <c r="EZ28" i="30"/>
  <c r="EQ28" i="30"/>
  <c r="FI19" i="30"/>
  <c r="EZ19" i="30"/>
  <c r="EQ19" i="30"/>
  <c r="FI11" i="30"/>
  <c r="EQ11" i="30"/>
  <c r="EZ11" i="30"/>
  <c r="FI63" i="30"/>
  <c r="EZ63" i="30"/>
  <c r="EQ63" i="30"/>
  <c r="FI53" i="30"/>
  <c r="EQ53" i="30"/>
  <c r="EZ53" i="30"/>
  <c r="FI27" i="30"/>
  <c r="EZ27" i="30"/>
  <c r="EQ27" i="30"/>
  <c r="EQ18" i="30"/>
  <c r="FI18" i="30"/>
  <c r="EZ18" i="30"/>
  <c r="EQ10" i="30"/>
  <c r="FI10" i="30"/>
  <c r="EZ10" i="30"/>
  <c r="EQ62" i="30"/>
  <c r="FI62" i="30"/>
  <c r="EZ62" i="30"/>
  <c r="EQ52" i="30"/>
  <c r="EZ52" i="30"/>
  <c r="FI52" i="30"/>
  <c r="EQ26" i="30"/>
  <c r="EZ26" i="30"/>
  <c r="FI26" i="30"/>
  <c r="EQ17" i="30"/>
  <c r="FI17" i="30"/>
  <c r="EZ17" i="30"/>
  <c r="EQ9" i="30"/>
  <c r="FI9" i="30"/>
  <c r="EZ9" i="30"/>
  <c r="EQ61" i="30"/>
  <c r="FI61" i="30"/>
  <c r="EZ61" i="30"/>
  <c r="EQ51" i="30"/>
  <c r="FI51" i="30"/>
  <c r="EZ51" i="30"/>
  <c r="EQ25" i="30"/>
  <c r="EZ25" i="30"/>
  <c r="FI25" i="30"/>
  <c r="EZ16" i="30"/>
  <c r="FI16" i="30"/>
  <c r="EQ16" i="30"/>
  <c r="FI8" i="30"/>
  <c r="EZ8" i="30"/>
  <c r="EQ8" i="30"/>
  <c r="EZ60" i="30"/>
  <c r="FI60" i="30"/>
  <c r="EQ60" i="30"/>
  <c r="FI50" i="30"/>
  <c r="EZ50" i="30"/>
  <c r="EQ50" i="30"/>
  <c r="EZ24" i="30"/>
  <c r="FI24" i="30"/>
  <c r="EQ24" i="30"/>
  <c r="EZ15" i="30"/>
  <c r="FI15" i="30"/>
  <c r="EQ15" i="30"/>
  <c r="EZ7" i="30"/>
  <c r="EQ7" i="30"/>
  <c r="FI7" i="30"/>
  <c r="EZ59" i="30"/>
  <c r="EQ59" i="30"/>
  <c r="FI59" i="30"/>
  <c r="EZ49" i="30"/>
  <c r="FI49" i="30"/>
  <c r="EQ49" i="30"/>
  <c r="EZ22" i="30"/>
  <c r="EQ22" i="30"/>
  <c r="FI22" i="30"/>
  <c r="EZ14" i="30"/>
  <c r="EQ14" i="30"/>
  <c r="FI14" i="30"/>
  <c r="EZ6" i="30"/>
  <c r="FI6" i="30"/>
  <c r="EQ6" i="30"/>
  <c r="EZ58" i="30"/>
  <c r="EQ58" i="30"/>
  <c r="FI58" i="30"/>
  <c r="EZ48" i="30"/>
  <c r="EQ48" i="30"/>
  <c r="FI48" i="30"/>
  <c r="FI21" i="30"/>
  <c r="EZ21" i="30"/>
  <c r="EQ21" i="30"/>
  <c r="FI13" i="30"/>
  <c r="EQ13" i="30"/>
  <c r="EZ13" i="30"/>
  <c r="EZ23" i="30"/>
  <c r="EQ23" i="30"/>
  <c r="FI23" i="30"/>
  <c r="H2" i="31"/>
  <c r="EC71" i="30"/>
  <c r="DO59" i="30"/>
  <c r="EG59" i="30"/>
  <c r="DX59" i="30"/>
  <c r="DO49" i="30"/>
  <c r="EG49" i="30"/>
  <c r="DX49" i="30"/>
  <c r="EG22" i="30"/>
  <c r="DX22" i="30"/>
  <c r="DO22" i="30"/>
  <c r="EG14" i="30"/>
  <c r="DX14" i="30"/>
  <c r="DO14" i="30"/>
  <c r="EG6" i="30"/>
  <c r="DX6" i="30"/>
  <c r="DO6" i="30"/>
  <c r="EG58" i="30"/>
  <c r="DX58" i="30"/>
  <c r="DO58" i="30"/>
  <c r="EG48" i="30"/>
  <c r="DX48" i="30"/>
  <c r="DO48" i="30"/>
  <c r="EG21" i="30"/>
  <c r="DX21" i="30"/>
  <c r="DO21" i="30"/>
  <c r="EG13" i="30"/>
  <c r="DX13" i="30"/>
  <c r="DO13" i="30"/>
  <c r="DO23" i="30"/>
  <c r="EG23" i="30"/>
  <c r="DX23" i="30"/>
  <c r="EG65" i="30"/>
  <c r="DX65" i="30"/>
  <c r="DO65" i="30"/>
  <c r="EG55" i="30"/>
  <c r="DX55" i="30"/>
  <c r="DO55" i="30"/>
  <c r="EG47" i="30"/>
  <c r="DX47" i="30"/>
  <c r="DO47" i="30"/>
  <c r="EG20" i="30"/>
  <c r="DX20" i="30"/>
  <c r="DO20" i="30"/>
  <c r="EG12" i="30"/>
  <c r="DX12" i="30"/>
  <c r="DO12" i="30"/>
  <c r="EG64" i="30"/>
  <c r="DX64" i="30"/>
  <c r="DO64" i="30"/>
  <c r="EG19" i="30"/>
  <c r="DX19" i="30"/>
  <c r="DO19" i="30"/>
  <c r="EG11" i="30"/>
  <c r="DX11" i="30"/>
  <c r="DO11" i="30"/>
  <c r="EG28" i="30"/>
  <c r="DX28" i="30"/>
  <c r="DO28" i="30"/>
  <c r="EG63" i="30"/>
  <c r="DX63" i="30"/>
  <c r="DO63" i="30"/>
  <c r="EG53" i="30"/>
  <c r="DX53" i="30"/>
  <c r="DO53" i="30"/>
  <c r="EG27" i="30"/>
  <c r="DX27" i="30"/>
  <c r="DO27" i="30"/>
  <c r="EG18" i="30"/>
  <c r="DX18" i="30"/>
  <c r="DO18" i="30"/>
  <c r="EG10" i="30"/>
  <c r="DX10" i="30"/>
  <c r="DO10" i="30"/>
  <c r="EG62" i="30"/>
  <c r="DX62" i="30"/>
  <c r="DO62" i="30"/>
  <c r="EG52" i="30"/>
  <c r="DX52" i="30"/>
  <c r="DO52" i="30"/>
  <c r="EG26" i="30"/>
  <c r="DX26" i="30"/>
  <c r="DO26" i="30"/>
  <c r="DO17" i="30"/>
  <c r="EG17" i="30"/>
  <c r="DX17" i="30"/>
  <c r="DO9" i="30"/>
  <c r="EG9" i="30"/>
  <c r="DX9" i="30"/>
  <c r="DO61" i="30"/>
  <c r="EG61" i="30"/>
  <c r="DX61" i="30"/>
  <c r="DO51" i="30"/>
  <c r="EG51" i="30"/>
  <c r="DX51" i="30"/>
  <c r="DO25" i="30"/>
  <c r="EG25" i="30"/>
  <c r="DX25" i="30"/>
  <c r="DO16" i="30"/>
  <c r="EG16" i="30"/>
  <c r="DX16" i="30"/>
  <c r="DO8" i="30"/>
  <c r="EG8" i="30"/>
  <c r="DX8" i="30"/>
  <c r="EG54" i="30"/>
  <c r="DX54" i="30"/>
  <c r="DO54" i="30"/>
  <c r="DO60" i="30"/>
  <c r="EG60" i="30"/>
  <c r="DX60" i="30"/>
  <c r="DO50" i="30"/>
  <c r="EG50" i="30"/>
  <c r="DX50" i="30"/>
  <c r="DO24" i="30"/>
  <c r="EG24" i="30"/>
  <c r="DX24" i="30"/>
  <c r="DO15" i="30"/>
  <c r="EG15" i="30"/>
  <c r="DX15" i="30"/>
  <c r="DO7" i="30"/>
  <c r="EG7" i="30"/>
  <c r="DX7" i="30"/>
  <c r="EE6" i="30"/>
  <c r="ED6" i="30"/>
  <c r="EC6" i="30"/>
  <c r="DU65" i="30"/>
  <c r="DV65" i="30"/>
  <c r="CA25" i="30"/>
  <c r="BZ25" i="30"/>
  <c r="BY25" i="30"/>
  <c r="BX25" i="30"/>
  <c r="BW25" i="30"/>
  <c r="BV25" i="30"/>
  <c r="BU25" i="30"/>
  <c r="BT25" i="30"/>
  <c r="BS25" i="30"/>
  <c r="BR25" i="30"/>
  <c r="BQ25" i="30"/>
  <c r="BP25" i="30"/>
  <c r="BO25" i="30"/>
  <c r="BN25" i="30"/>
  <c r="BM25" i="30"/>
  <c r="BL25" i="30"/>
  <c r="BK25" i="30"/>
  <c r="BJ25" i="30"/>
  <c r="BI25" i="30"/>
  <c r="BH25" i="30"/>
  <c r="BG25" i="30"/>
  <c r="BF25" i="30"/>
  <c r="BE25" i="30"/>
  <c r="BD25" i="30"/>
  <c r="BC25" i="30"/>
  <c r="BB25" i="30"/>
  <c r="BA25" i="30"/>
  <c r="AZ25" i="30"/>
  <c r="AY25" i="30"/>
  <c r="AX25" i="30"/>
  <c r="AW25" i="30"/>
  <c r="AV25" i="30"/>
  <c r="AU25" i="30"/>
  <c r="AT25" i="30"/>
  <c r="AS25" i="30"/>
  <c r="AR25" i="30"/>
  <c r="AQ25" i="30"/>
  <c r="AP25" i="30"/>
  <c r="AO25" i="30"/>
  <c r="AN25" i="30"/>
  <c r="AM25" i="30"/>
  <c r="AL25" i="30"/>
  <c r="AK25" i="30"/>
  <c r="AJ25" i="30"/>
  <c r="AI25" i="30"/>
  <c r="AH25" i="30"/>
  <c r="AG25" i="30"/>
  <c r="AF25" i="30"/>
  <c r="CA24" i="30"/>
  <c r="BZ24" i="30"/>
  <c r="BY24" i="30"/>
  <c r="BX24" i="30"/>
  <c r="BW24" i="30"/>
  <c r="BV24" i="30"/>
  <c r="BU24" i="30"/>
  <c r="BT24" i="30"/>
  <c r="BS24" i="30"/>
  <c r="BR24" i="30"/>
  <c r="BQ24" i="30"/>
  <c r="BP24" i="30"/>
  <c r="BO24" i="30"/>
  <c r="BN24" i="30"/>
  <c r="BM24" i="30"/>
  <c r="BL24" i="30"/>
  <c r="BK24" i="30"/>
  <c r="BJ24" i="30"/>
  <c r="BI24" i="30"/>
  <c r="BH24" i="30"/>
  <c r="BG24" i="30"/>
  <c r="BF24" i="30"/>
  <c r="BE24" i="30"/>
  <c r="BD24" i="30"/>
  <c r="BC24" i="30"/>
  <c r="BB24" i="30"/>
  <c r="BA24" i="30"/>
  <c r="AZ24" i="30"/>
  <c r="AY24" i="30"/>
  <c r="AX24" i="30"/>
  <c r="AW24" i="30"/>
  <c r="AV24" i="30"/>
  <c r="AU24" i="30"/>
  <c r="AT24" i="30"/>
  <c r="AS24" i="30"/>
  <c r="AR24" i="30"/>
  <c r="AQ24" i="30"/>
  <c r="AP24" i="30"/>
  <c r="AO24" i="30"/>
  <c r="AN24" i="30"/>
  <c r="AM24" i="30"/>
  <c r="AL24" i="30"/>
  <c r="AK24" i="30"/>
  <c r="AJ24" i="30"/>
  <c r="AI24" i="30"/>
  <c r="AH24" i="30"/>
  <c r="AG24" i="30"/>
  <c r="AF24" i="30"/>
  <c r="CA22" i="30"/>
  <c r="BZ22" i="30"/>
  <c r="BY22" i="30"/>
  <c r="BX22" i="30"/>
  <c r="BW22" i="30"/>
  <c r="BV22" i="30"/>
  <c r="BU22" i="30"/>
  <c r="BT22" i="30"/>
  <c r="BS22" i="30"/>
  <c r="BR22" i="30"/>
  <c r="BQ22" i="30"/>
  <c r="BP22" i="30"/>
  <c r="BO22" i="30"/>
  <c r="BN22" i="30"/>
  <c r="BM22" i="30"/>
  <c r="BL22" i="30"/>
  <c r="BK22" i="30"/>
  <c r="BJ22" i="30"/>
  <c r="BI22" i="30"/>
  <c r="BH22" i="30"/>
  <c r="BG22" i="30"/>
  <c r="BF22" i="30"/>
  <c r="BE22" i="30"/>
  <c r="BD22" i="30"/>
  <c r="BC22" i="30"/>
  <c r="BB22" i="30"/>
  <c r="BA22" i="30"/>
  <c r="AZ22" i="30"/>
  <c r="AY22" i="30"/>
  <c r="AX22" i="30"/>
  <c r="AW22" i="30"/>
  <c r="AV22" i="30"/>
  <c r="AU22" i="30"/>
  <c r="AT22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CA21" i="30"/>
  <c r="BZ21" i="30"/>
  <c r="BY21" i="30"/>
  <c r="BX21" i="30"/>
  <c r="BW21" i="30"/>
  <c r="BV21" i="30"/>
  <c r="BU21" i="30"/>
  <c r="BT21" i="30"/>
  <c r="BS21" i="30"/>
  <c r="BR21" i="30"/>
  <c r="BQ21" i="30"/>
  <c r="BP21" i="30"/>
  <c r="BO21" i="30"/>
  <c r="BN21" i="30"/>
  <c r="BM21" i="30"/>
  <c r="BL21" i="30"/>
  <c r="BK21" i="30"/>
  <c r="BJ21" i="30"/>
  <c r="BI21" i="30"/>
  <c r="BH21" i="30"/>
  <c r="BG21" i="30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CA20" i="30"/>
  <c r="BZ20" i="30"/>
  <c r="BY20" i="30"/>
  <c r="BX20" i="30"/>
  <c r="BW20" i="30"/>
  <c r="BV20" i="30"/>
  <c r="BU20" i="30"/>
  <c r="BT20" i="30"/>
  <c r="BS20" i="30"/>
  <c r="BR20" i="30"/>
  <c r="BQ20" i="30"/>
  <c r="BP20" i="30"/>
  <c r="BO20" i="30"/>
  <c r="BN20" i="30"/>
  <c r="BM20" i="30"/>
  <c r="BL20" i="30"/>
  <c r="BK20" i="30"/>
  <c r="BJ20" i="30"/>
  <c r="BI20" i="30"/>
  <c r="BH20" i="30"/>
  <c r="BG20" i="30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CA19" i="30"/>
  <c r="BZ19" i="30"/>
  <c r="BY19" i="30"/>
  <c r="BX19" i="30"/>
  <c r="BW19" i="30"/>
  <c r="BV19" i="30"/>
  <c r="BU19" i="30"/>
  <c r="BT19" i="30"/>
  <c r="BS19" i="30"/>
  <c r="BR19" i="30"/>
  <c r="BQ19" i="30"/>
  <c r="BP19" i="30"/>
  <c r="BO19" i="30"/>
  <c r="BN19" i="30"/>
  <c r="BM19" i="30"/>
  <c r="BL19" i="30"/>
  <c r="BK19" i="30"/>
  <c r="BJ19" i="30"/>
  <c r="BI19" i="30"/>
  <c r="BH19" i="30"/>
  <c r="BG19" i="30"/>
  <c r="BF19" i="30"/>
  <c r="BE19" i="30"/>
  <c r="BD19" i="30"/>
  <c r="BC19" i="30"/>
  <c r="BB19" i="30"/>
  <c r="BA19" i="30"/>
  <c r="AZ19" i="30"/>
  <c r="AY19" i="30"/>
  <c r="AX19" i="30"/>
  <c r="AW19" i="30"/>
  <c r="AV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CA18" i="30"/>
  <c r="BZ18" i="30"/>
  <c r="BY18" i="30"/>
  <c r="BX18" i="30"/>
  <c r="BW18" i="30"/>
  <c r="BV18" i="30"/>
  <c r="BU18" i="30"/>
  <c r="BT18" i="30"/>
  <c r="BS18" i="30"/>
  <c r="BR18" i="30"/>
  <c r="BQ18" i="30"/>
  <c r="BP18" i="30"/>
  <c r="BO18" i="30"/>
  <c r="BN18" i="30"/>
  <c r="BM18" i="30"/>
  <c r="BL18" i="30"/>
  <c r="BK18" i="30"/>
  <c r="BJ18" i="30"/>
  <c r="BI18" i="30"/>
  <c r="BH18" i="30"/>
  <c r="BG18" i="30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CA17" i="30"/>
  <c r="BZ17" i="30"/>
  <c r="BY17" i="30"/>
  <c r="BX17" i="30"/>
  <c r="BW17" i="30"/>
  <c r="BV17" i="30"/>
  <c r="BU17" i="30"/>
  <c r="BT17" i="30"/>
  <c r="BS17" i="30"/>
  <c r="BR17" i="30"/>
  <c r="BQ17" i="30"/>
  <c r="BP17" i="30"/>
  <c r="BO17" i="30"/>
  <c r="BN17" i="30"/>
  <c r="BM17" i="30"/>
  <c r="BL17" i="30"/>
  <c r="BK17" i="30"/>
  <c r="BJ17" i="30"/>
  <c r="BI17" i="30"/>
  <c r="BH17" i="30"/>
  <c r="BG17" i="30"/>
  <c r="BF17" i="30"/>
  <c r="BE17" i="30"/>
  <c r="BD17" i="30"/>
  <c r="BC17" i="30"/>
  <c r="BB17" i="30"/>
  <c r="BA17" i="30"/>
  <c r="AZ17" i="30"/>
  <c r="AY17" i="30"/>
  <c r="AX17" i="30"/>
  <c r="AW17" i="30"/>
  <c r="AV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CA16" i="30"/>
  <c r="BZ16" i="30"/>
  <c r="BY16" i="30"/>
  <c r="BX16" i="30"/>
  <c r="BW16" i="30"/>
  <c r="BV16" i="30"/>
  <c r="BU16" i="30"/>
  <c r="BT16" i="30"/>
  <c r="BS16" i="30"/>
  <c r="BR16" i="30"/>
  <c r="BQ16" i="30"/>
  <c r="BP16" i="30"/>
  <c r="BO16" i="30"/>
  <c r="BN16" i="30"/>
  <c r="BM16" i="30"/>
  <c r="BL16" i="30"/>
  <c r="BK16" i="30"/>
  <c r="BJ16" i="30"/>
  <c r="BI16" i="30"/>
  <c r="BH16" i="30"/>
  <c r="BG16" i="30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CA15" i="30"/>
  <c r="BZ15" i="30"/>
  <c r="BY15" i="30"/>
  <c r="BX15" i="30"/>
  <c r="BW15" i="30"/>
  <c r="BV15" i="30"/>
  <c r="BU15" i="30"/>
  <c r="BT15" i="30"/>
  <c r="BS15" i="30"/>
  <c r="BR15" i="30"/>
  <c r="BQ15" i="30"/>
  <c r="BP15" i="30"/>
  <c r="BO15" i="30"/>
  <c r="BN15" i="30"/>
  <c r="BM15" i="30"/>
  <c r="BL15" i="30"/>
  <c r="BK15" i="30"/>
  <c r="BJ15" i="30"/>
  <c r="BI15" i="30"/>
  <c r="BH15" i="30"/>
  <c r="BG15" i="30"/>
  <c r="BF15" i="30"/>
  <c r="BE15" i="30"/>
  <c r="BD15" i="30"/>
  <c r="BC15" i="30"/>
  <c r="BB15" i="30"/>
  <c r="BA15" i="30"/>
  <c r="AZ15" i="30"/>
  <c r="AY15" i="30"/>
  <c r="AX15" i="30"/>
  <c r="AW15" i="30"/>
  <c r="AV15" i="30"/>
  <c r="AU15" i="30"/>
  <c r="AT15" i="30"/>
  <c r="AS15" i="30"/>
  <c r="AR15" i="30"/>
  <c r="AQ15" i="30"/>
  <c r="AP15" i="30"/>
  <c r="AO15" i="30"/>
  <c r="AN15" i="30"/>
  <c r="AM15" i="30"/>
  <c r="AL15" i="30"/>
  <c r="AK15" i="30"/>
  <c r="AJ15" i="30"/>
  <c r="AI15" i="30"/>
  <c r="AH15" i="30"/>
  <c r="AG15" i="30"/>
  <c r="AF15" i="30"/>
  <c r="CA14" i="30"/>
  <c r="BZ14" i="30"/>
  <c r="BY14" i="30"/>
  <c r="BX14" i="30"/>
  <c r="BW14" i="30"/>
  <c r="BV14" i="30"/>
  <c r="BU14" i="30"/>
  <c r="BT14" i="30"/>
  <c r="BS14" i="30"/>
  <c r="BR14" i="30"/>
  <c r="BQ14" i="30"/>
  <c r="BP14" i="30"/>
  <c r="BO14" i="30"/>
  <c r="BN14" i="30"/>
  <c r="BM14" i="30"/>
  <c r="BL14" i="30"/>
  <c r="BK14" i="30"/>
  <c r="BJ14" i="30"/>
  <c r="BI14" i="30"/>
  <c r="BH14" i="30"/>
  <c r="BG14" i="30"/>
  <c r="BF14" i="30"/>
  <c r="BE14" i="30"/>
  <c r="BD14" i="30"/>
  <c r="BC14" i="30"/>
  <c r="BB14" i="30"/>
  <c r="BA14" i="30"/>
  <c r="AZ14" i="30"/>
  <c r="AY14" i="30"/>
  <c r="AX14" i="30"/>
  <c r="AW14" i="30"/>
  <c r="AV14" i="30"/>
  <c r="AU14" i="30"/>
  <c r="AT14" i="30"/>
  <c r="AS14" i="30"/>
  <c r="AR14" i="30"/>
  <c r="AQ14" i="30"/>
  <c r="AP14" i="30"/>
  <c r="AO14" i="30"/>
  <c r="AN14" i="30"/>
  <c r="AM14" i="30"/>
  <c r="AL14" i="30"/>
  <c r="AK14" i="30"/>
  <c r="AJ14" i="30"/>
  <c r="AI14" i="30"/>
  <c r="AH14" i="30"/>
  <c r="AG14" i="30"/>
  <c r="AF14" i="30"/>
  <c r="CA13" i="30"/>
  <c r="BZ13" i="30"/>
  <c r="BY13" i="30"/>
  <c r="BX13" i="30"/>
  <c r="BW13" i="30"/>
  <c r="BV13" i="30"/>
  <c r="BU13" i="30"/>
  <c r="BT13" i="30"/>
  <c r="BS13" i="30"/>
  <c r="BR13" i="30"/>
  <c r="BQ13" i="30"/>
  <c r="BP13" i="30"/>
  <c r="BO13" i="30"/>
  <c r="BN13" i="30"/>
  <c r="BM13" i="30"/>
  <c r="BL13" i="30"/>
  <c r="BK13" i="30"/>
  <c r="BJ13" i="30"/>
  <c r="BI13" i="30"/>
  <c r="BH13" i="30"/>
  <c r="BG13" i="30"/>
  <c r="BF13" i="30"/>
  <c r="BE13" i="30"/>
  <c r="BD13" i="30"/>
  <c r="BC13" i="30"/>
  <c r="BB13" i="30"/>
  <c r="BA13" i="30"/>
  <c r="AZ13" i="30"/>
  <c r="AY13" i="30"/>
  <c r="AX13" i="30"/>
  <c r="AW13" i="30"/>
  <c r="AV13" i="30"/>
  <c r="AU13" i="30"/>
  <c r="AT13" i="30"/>
  <c r="AS13" i="30"/>
  <c r="AR13" i="30"/>
  <c r="AQ13" i="30"/>
  <c r="AP13" i="30"/>
  <c r="AO13" i="30"/>
  <c r="AN13" i="30"/>
  <c r="AM13" i="30"/>
  <c r="AL13" i="30"/>
  <c r="AK13" i="30"/>
  <c r="AJ13" i="30"/>
  <c r="AI13" i="30"/>
  <c r="AH13" i="30"/>
  <c r="AG13" i="30"/>
  <c r="AF13" i="30"/>
  <c r="CA12" i="30"/>
  <c r="BZ12" i="30"/>
  <c r="BY12" i="30"/>
  <c r="BX12" i="30"/>
  <c r="BW12" i="30"/>
  <c r="BV12" i="30"/>
  <c r="BU12" i="30"/>
  <c r="BT12" i="30"/>
  <c r="BS12" i="30"/>
  <c r="BR12" i="30"/>
  <c r="BQ12" i="30"/>
  <c r="BP12" i="30"/>
  <c r="BO12" i="30"/>
  <c r="BN12" i="30"/>
  <c r="BM12" i="30"/>
  <c r="BL12" i="30"/>
  <c r="BK12" i="30"/>
  <c r="BJ12" i="30"/>
  <c r="BI12" i="30"/>
  <c r="BH12" i="30"/>
  <c r="BG12" i="30"/>
  <c r="BF12" i="30"/>
  <c r="BE12" i="30"/>
  <c r="BD12" i="30"/>
  <c r="BC12" i="30"/>
  <c r="BB12" i="30"/>
  <c r="BA12" i="30"/>
  <c r="AZ12" i="30"/>
  <c r="AY12" i="30"/>
  <c r="AX12" i="30"/>
  <c r="AW12" i="30"/>
  <c r="AV12" i="30"/>
  <c r="AU12" i="30"/>
  <c r="AT12" i="30"/>
  <c r="AS12" i="30"/>
  <c r="AR12" i="30"/>
  <c r="AQ12" i="30"/>
  <c r="AP12" i="30"/>
  <c r="AO12" i="30"/>
  <c r="AN12" i="30"/>
  <c r="AM12" i="30"/>
  <c r="AL12" i="30"/>
  <c r="AK12" i="30"/>
  <c r="AJ12" i="30"/>
  <c r="AI12" i="30"/>
  <c r="AH12" i="30"/>
  <c r="AG12" i="30"/>
  <c r="AF12" i="30"/>
  <c r="CA11" i="30"/>
  <c r="BZ11" i="30"/>
  <c r="BY11" i="30"/>
  <c r="BX11" i="30"/>
  <c r="BW11" i="30"/>
  <c r="BV11" i="30"/>
  <c r="BU11" i="30"/>
  <c r="BT11" i="30"/>
  <c r="BS11" i="30"/>
  <c r="BR11" i="30"/>
  <c r="BQ11" i="30"/>
  <c r="BP11" i="30"/>
  <c r="BO11" i="30"/>
  <c r="BN11" i="30"/>
  <c r="BM11" i="30"/>
  <c r="BL11" i="30"/>
  <c r="BK11" i="30"/>
  <c r="BJ11" i="30"/>
  <c r="BI11" i="30"/>
  <c r="BH11" i="30"/>
  <c r="BG11" i="30"/>
  <c r="BF11" i="30"/>
  <c r="BE11" i="30"/>
  <c r="BD11" i="30"/>
  <c r="BC11" i="30"/>
  <c r="BB11" i="30"/>
  <c r="BA11" i="30"/>
  <c r="AZ11" i="30"/>
  <c r="AY11" i="30"/>
  <c r="AX11" i="30"/>
  <c r="AW11" i="30"/>
  <c r="AV11" i="30"/>
  <c r="AU11" i="30"/>
  <c r="AT11" i="30"/>
  <c r="AS11" i="30"/>
  <c r="AR11" i="30"/>
  <c r="AQ11" i="30"/>
  <c r="AP11" i="30"/>
  <c r="AO11" i="30"/>
  <c r="AN11" i="30"/>
  <c r="AM11" i="30"/>
  <c r="AL11" i="30"/>
  <c r="AK11" i="30"/>
  <c r="AJ11" i="30"/>
  <c r="AI11" i="30"/>
  <c r="AH11" i="30"/>
  <c r="AG11" i="30"/>
  <c r="AF11" i="30"/>
  <c r="CA10" i="30"/>
  <c r="BZ10" i="30"/>
  <c r="BY10" i="30"/>
  <c r="BX10" i="30"/>
  <c r="BW10" i="30"/>
  <c r="BV10" i="30"/>
  <c r="BU10" i="30"/>
  <c r="BT10" i="30"/>
  <c r="BS10" i="30"/>
  <c r="BR10" i="30"/>
  <c r="BQ10" i="30"/>
  <c r="BP10" i="30"/>
  <c r="BO10" i="30"/>
  <c r="BN10" i="30"/>
  <c r="BM10" i="30"/>
  <c r="BL10" i="30"/>
  <c r="BK10" i="30"/>
  <c r="BJ10" i="30"/>
  <c r="BI10" i="30"/>
  <c r="BH10" i="30"/>
  <c r="BG10" i="30"/>
  <c r="BF10" i="30"/>
  <c r="BE10" i="30"/>
  <c r="BD10" i="30"/>
  <c r="BC10" i="30"/>
  <c r="BB10" i="30"/>
  <c r="BA10" i="30"/>
  <c r="AZ10" i="30"/>
  <c r="AY10" i="30"/>
  <c r="AX10" i="30"/>
  <c r="AW10" i="30"/>
  <c r="AV10" i="30"/>
  <c r="AU10" i="30"/>
  <c r="AT10" i="30"/>
  <c r="AS10" i="30"/>
  <c r="AR10" i="30"/>
  <c r="AQ10" i="30"/>
  <c r="AP10" i="30"/>
  <c r="AO10" i="30"/>
  <c r="AN10" i="30"/>
  <c r="AM10" i="30"/>
  <c r="AL10" i="30"/>
  <c r="AK10" i="30"/>
  <c r="AJ10" i="30"/>
  <c r="AI10" i="30"/>
  <c r="AH10" i="30"/>
  <c r="AG10" i="30"/>
  <c r="AF10" i="30"/>
  <c r="CA51" i="30"/>
  <c r="BZ51" i="30"/>
  <c r="BY51" i="30"/>
  <c r="BX51" i="30"/>
  <c r="BW51" i="30"/>
  <c r="BV51" i="30"/>
  <c r="BU51" i="30"/>
  <c r="BT51" i="30"/>
  <c r="BS51" i="30"/>
  <c r="BR51" i="30"/>
  <c r="BQ51" i="30"/>
  <c r="BP51" i="30"/>
  <c r="BO51" i="30"/>
  <c r="BN51" i="30"/>
  <c r="BM51" i="30"/>
  <c r="BL51" i="30"/>
  <c r="BK51" i="30"/>
  <c r="BJ51" i="30"/>
  <c r="BI51" i="30"/>
  <c r="BH51" i="30"/>
  <c r="BG51" i="30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M51" i="30"/>
  <c r="AL51" i="30"/>
  <c r="AK51" i="30"/>
  <c r="AJ51" i="30"/>
  <c r="AI51" i="30"/>
  <c r="AH51" i="30"/>
  <c r="AG51" i="30"/>
  <c r="AF51" i="30"/>
  <c r="CA50" i="30"/>
  <c r="BZ50" i="30"/>
  <c r="BY50" i="30"/>
  <c r="BX50" i="30"/>
  <c r="BW50" i="30"/>
  <c r="BV50" i="30"/>
  <c r="BU50" i="30"/>
  <c r="BT50" i="30"/>
  <c r="BS50" i="30"/>
  <c r="BR50" i="30"/>
  <c r="BQ50" i="30"/>
  <c r="BP50" i="30"/>
  <c r="BO50" i="30"/>
  <c r="BN50" i="30"/>
  <c r="BM50" i="30"/>
  <c r="BL50" i="30"/>
  <c r="BK50" i="30"/>
  <c r="BJ50" i="30"/>
  <c r="BI50" i="30"/>
  <c r="BH50" i="30"/>
  <c r="BG50" i="30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M50" i="30"/>
  <c r="AL50" i="30"/>
  <c r="AK50" i="30"/>
  <c r="AJ50" i="30"/>
  <c r="AI50" i="30"/>
  <c r="AH50" i="30"/>
  <c r="AG50" i="30"/>
  <c r="AF50" i="30"/>
  <c r="CA49" i="30"/>
  <c r="BZ49" i="30"/>
  <c r="BY49" i="30"/>
  <c r="BX49" i="30"/>
  <c r="BW49" i="30"/>
  <c r="BV49" i="30"/>
  <c r="BU49" i="30"/>
  <c r="BT49" i="30"/>
  <c r="BS49" i="30"/>
  <c r="BR49" i="30"/>
  <c r="BQ49" i="30"/>
  <c r="BP49" i="30"/>
  <c r="BO49" i="30"/>
  <c r="BN49" i="30"/>
  <c r="BM49" i="30"/>
  <c r="BL49" i="30"/>
  <c r="BK49" i="30"/>
  <c r="BJ49" i="30"/>
  <c r="BI49" i="30"/>
  <c r="BH49" i="30"/>
  <c r="BG49" i="30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M49" i="30"/>
  <c r="AL49" i="30"/>
  <c r="AK49" i="30"/>
  <c r="AJ49" i="30"/>
  <c r="AI49" i="30"/>
  <c r="AH49" i="30"/>
  <c r="AG49" i="30"/>
  <c r="AF49" i="30"/>
  <c r="CA48" i="30"/>
  <c r="BZ48" i="30"/>
  <c r="BY48" i="30"/>
  <c r="BX48" i="30"/>
  <c r="BW48" i="30"/>
  <c r="BV48" i="30"/>
  <c r="BU48" i="30"/>
  <c r="BT48" i="30"/>
  <c r="BS48" i="30"/>
  <c r="BR48" i="30"/>
  <c r="BQ48" i="30"/>
  <c r="BP48" i="30"/>
  <c r="BO48" i="30"/>
  <c r="BN48" i="30"/>
  <c r="BM48" i="30"/>
  <c r="BL48" i="30"/>
  <c r="BK48" i="30"/>
  <c r="BJ48" i="30"/>
  <c r="BI48" i="30"/>
  <c r="BH48" i="30"/>
  <c r="BG48" i="30"/>
  <c r="BF48" i="30"/>
  <c r="BE48" i="30"/>
  <c r="BD48" i="30"/>
  <c r="BC48" i="30"/>
  <c r="BB48" i="30"/>
  <c r="BA48" i="30"/>
  <c r="AZ48" i="30"/>
  <c r="AY48" i="30"/>
  <c r="AX48" i="30"/>
  <c r="AW48" i="30"/>
  <c r="AV48" i="30"/>
  <c r="AU48" i="30"/>
  <c r="AT48" i="30"/>
  <c r="AS48" i="30"/>
  <c r="AR48" i="30"/>
  <c r="AQ48" i="30"/>
  <c r="AP48" i="30"/>
  <c r="AO48" i="30"/>
  <c r="AN48" i="30"/>
  <c r="AM48" i="30"/>
  <c r="AL48" i="30"/>
  <c r="AK48" i="30"/>
  <c r="AJ48" i="30"/>
  <c r="AI48" i="30"/>
  <c r="AH48" i="30"/>
  <c r="AG48" i="30"/>
  <c r="AF48" i="30"/>
  <c r="CA47" i="30"/>
  <c r="BZ47" i="30"/>
  <c r="BY47" i="30"/>
  <c r="BX47" i="30"/>
  <c r="BW47" i="30"/>
  <c r="BV47" i="30"/>
  <c r="BU47" i="30"/>
  <c r="BT47" i="30"/>
  <c r="BS47" i="30"/>
  <c r="BR47" i="30"/>
  <c r="BQ47" i="30"/>
  <c r="BP47" i="30"/>
  <c r="BO47" i="30"/>
  <c r="BN47" i="30"/>
  <c r="BM47" i="30"/>
  <c r="BL47" i="30"/>
  <c r="BK47" i="30"/>
  <c r="BJ47" i="30"/>
  <c r="BI47" i="30"/>
  <c r="BH47" i="30"/>
  <c r="BG47" i="30"/>
  <c r="BF47" i="30"/>
  <c r="BE47" i="30"/>
  <c r="BD47" i="30"/>
  <c r="BC47" i="30"/>
  <c r="BB47" i="30"/>
  <c r="BA47" i="30"/>
  <c r="AZ47" i="30"/>
  <c r="AY47" i="30"/>
  <c r="AX47" i="30"/>
  <c r="AW47" i="30"/>
  <c r="AV47" i="30"/>
  <c r="AU47" i="30"/>
  <c r="AT47" i="30"/>
  <c r="AS47" i="30"/>
  <c r="AR47" i="30"/>
  <c r="AQ47" i="30"/>
  <c r="AP47" i="30"/>
  <c r="AO47" i="30"/>
  <c r="AN47" i="30"/>
  <c r="AM47" i="30"/>
  <c r="AL47" i="30"/>
  <c r="AK47" i="30"/>
  <c r="AJ47" i="30"/>
  <c r="AI47" i="30"/>
  <c r="AH47" i="30"/>
  <c r="AG47" i="30"/>
  <c r="AF47" i="30"/>
  <c r="CA28" i="30"/>
  <c r="BZ28" i="30"/>
  <c r="BY28" i="30"/>
  <c r="BX28" i="30"/>
  <c r="BW28" i="30"/>
  <c r="BV28" i="30"/>
  <c r="BU28" i="30"/>
  <c r="BT28" i="30"/>
  <c r="BS28" i="30"/>
  <c r="BR28" i="30"/>
  <c r="BQ28" i="30"/>
  <c r="BP28" i="30"/>
  <c r="BO28" i="30"/>
  <c r="BN28" i="30"/>
  <c r="BM28" i="30"/>
  <c r="BL28" i="30"/>
  <c r="BK28" i="30"/>
  <c r="BJ28" i="30"/>
  <c r="BI28" i="30"/>
  <c r="BH28" i="30"/>
  <c r="BG28" i="30"/>
  <c r="BF28" i="30"/>
  <c r="BE28" i="30"/>
  <c r="BD28" i="30"/>
  <c r="BC28" i="30"/>
  <c r="BB28" i="30"/>
  <c r="BA28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F28" i="30"/>
  <c r="CA27" i="30"/>
  <c r="BZ27" i="30"/>
  <c r="BY27" i="30"/>
  <c r="BX27" i="30"/>
  <c r="BW27" i="30"/>
  <c r="BV27" i="30"/>
  <c r="BU27" i="30"/>
  <c r="BT27" i="30"/>
  <c r="BS27" i="30"/>
  <c r="BR27" i="30"/>
  <c r="BQ27" i="30"/>
  <c r="BP27" i="30"/>
  <c r="BO27" i="30"/>
  <c r="BN27" i="30"/>
  <c r="BM27" i="30"/>
  <c r="BL27" i="30"/>
  <c r="BK27" i="30"/>
  <c r="BJ27" i="30"/>
  <c r="BI27" i="30"/>
  <c r="BH27" i="30"/>
  <c r="BG27" i="30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CA26" i="30"/>
  <c r="BZ26" i="30"/>
  <c r="BY26" i="30"/>
  <c r="BX26" i="30"/>
  <c r="BW26" i="30"/>
  <c r="BV26" i="30"/>
  <c r="BU26" i="30"/>
  <c r="BT26" i="30"/>
  <c r="BS26" i="30"/>
  <c r="BR26" i="30"/>
  <c r="BQ26" i="30"/>
  <c r="BP26" i="30"/>
  <c r="BO26" i="30"/>
  <c r="BN26" i="30"/>
  <c r="BM26" i="30"/>
  <c r="BL26" i="30"/>
  <c r="BK26" i="30"/>
  <c r="BJ26" i="30"/>
  <c r="BI26" i="30"/>
  <c r="BH26" i="30"/>
  <c r="BG26" i="30"/>
  <c r="BF26" i="30"/>
  <c r="BE26" i="30"/>
  <c r="BD26" i="30"/>
  <c r="BC26" i="30"/>
  <c r="BB26" i="30"/>
  <c r="BA26" i="30"/>
  <c r="AZ26" i="30"/>
  <c r="AY26" i="30"/>
  <c r="AX26" i="30"/>
  <c r="AW26" i="30"/>
  <c r="AV26" i="30"/>
  <c r="AU26" i="30"/>
  <c r="AT26" i="30"/>
  <c r="AS26" i="30"/>
  <c r="AR26" i="30"/>
  <c r="AQ26" i="30"/>
  <c r="AP26" i="30"/>
  <c r="AO26" i="30"/>
  <c r="AN26" i="30"/>
  <c r="AM26" i="30"/>
  <c r="AL26" i="30"/>
  <c r="AK26" i="30"/>
  <c r="AJ26" i="30"/>
  <c r="AI26" i="30"/>
  <c r="AH26" i="30"/>
  <c r="AG26" i="30"/>
  <c r="AF26" i="30"/>
  <c r="AF7" i="30"/>
  <c r="AG7" i="30"/>
  <c r="AH7" i="30"/>
  <c r="AI7" i="30"/>
  <c r="AJ7" i="30"/>
  <c r="AK7" i="30"/>
  <c r="AL7" i="30"/>
  <c r="AM7" i="30"/>
  <c r="AN7" i="30"/>
  <c r="AO7" i="30"/>
  <c r="AP7" i="30"/>
  <c r="AQ7" i="30"/>
  <c r="AR7" i="30"/>
  <c r="AS7" i="30"/>
  <c r="AT7" i="30"/>
  <c r="AU7" i="30"/>
  <c r="AV7" i="30"/>
  <c r="AW7" i="30"/>
  <c r="AX7" i="30"/>
  <c r="AY7" i="30"/>
  <c r="AZ7" i="30"/>
  <c r="BA7" i="30"/>
  <c r="BB7" i="30"/>
  <c r="BC7" i="30"/>
  <c r="BD7" i="30"/>
  <c r="BE7" i="30"/>
  <c r="BF7" i="30"/>
  <c r="BG7" i="30"/>
  <c r="BH7" i="30"/>
  <c r="BI7" i="30"/>
  <c r="BJ7" i="30"/>
  <c r="BK7" i="30"/>
  <c r="BL7" i="30"/>
  <c r="BM7" i="30"/>
  <c r="BN7" i="30"/>
  <c r="BO7" i="30"/>
  <c r="BP7" i="30"/>
  <c r="BQ7" i="30"/>
  <c r="BR7" i="30"/>
  <c r="BS7" i="30"/>
  <c r="BT7" i="30"/>
  <c r="BU7" i="30"/>
  <c r="BV7" i="30"/>
  <c r="BW7" i="30"/>
  <c r="BX7" i="30"/>
  <c r="BY7" i="30"/>
  <c r="BZ7" i="30"/>
  <c r="CA7" i="30"/>
  <c r="AF8" i="30"/>
  <c r="AG8" i="30"/>
  <c r="AH8" i="30"/>
  <c r="AI8" i="30"/>
  <c r="AJ8" i="30"/>
  <c r="AK8" i="30"/>
  <c r="AL8" i="30"/>
  <c r="AM8" i="30"/>
  <c r="AN8" i="30"/>
  <c r="AO8" i="30"/>
  <c r="AP8" i="30"/>
  <c r="AQ8" i="30"/>
  <c r="AR8" i="30"/>
  <c r="AS8" i="30"/>
  <c r="AT8" i="30"/>
  <c r="AU8" i="30"/>
  <c r="AV8" i="30"/>
  <c r="AW8" i="30"/>
  <c r="AX8" i="30"/>
  <c r="AY8" i="30"/>
  <c r="AZ8" i="30"/>
  <c r="BA8" i="30"/>
  <c r="BB8" i="30"/>
  <c r="BC8" i="30"/>
  <c r="BD8" i="30"/>
  <c r="BE8" i="30"/>
  <c r="BF8" i="30"/>
  <c r="BG8" i="30"/>
  <c r="BH8" i="30"/>
  <c r="BI8" i="30"/>
  <c r="BJ8" i="30"/>
  <c r="BK8" i="30"/>
  <c r="BL8" i="30"/>
  <c r="BM8" i="30"/>
  <c r="BN8" i="30"/>
  <c r="BO8" i="30"/>
  <c r="BP8" i="30"/>
  <c r="BQ8" i="30"/>
  <c r="BR8" i="30"/>
  <c r="BS8" i="30"/>
  <c r="BT8" i="30"/>
  <c r="BU8" i="30"/>
  <c r="BV8" i="30"/>
  <c r="BW8" i="30"/>
  <c r="BX8" i="30"/>
  <c r="BY8" i="30"/>
  <c r="BZ8" i="30"/>
  <c r="CA8" i="30"/>
  <c r="AF9" i="30"/>
  <c r="AG9" i="30"/>
  <c r="AH9" i="30"/>
  <c r="AI9" i="30"/>
  <c r="AJ9" i="30"/>
  <c r="AK9" i="30"/>
  <c r="AL9" i="30"/>
  <c r="AM9" i="30"/>
  <c r="AN9" i="30"/>
  <c r="AO9" i="30"/>
  <c r="AP9" i="30"/>
  <c r="AQ9" i="30"/>
  <c r="AR9" i="30"/>
  <c r="AS9" i="30"/>
  <c r="AT9" i="30"/>
  <c r="AU9" i="30"/>
  <c r="AV9" i="30"/>
  <c r="AW9" i="30"/>
  <c r="AX9" i="30"/>
  <c r="AY9" i="30"/>
  <c r="AZ9" i="30"/>
  <c r="BA9" i="30"/>
  <c r="BB9" i="30"/>
  <c r="BC9" i="30"/>
  <c r="BD9" i="30"/>
  <c r="BE9" i="30"/>
  <c r="BF9" i="30"/>
  <c r="BG9" i="30"/>
  <c r="BH9" i="30"/>
  <c r="BI9" i="30"/>
  <c r="BJ9" i="30"/>
  <c r="BK9" i="30"/>
  <c r="BL9" i="30"/>
  <c r="BM9" i="30"/>
  <c r="BN9" i="30"/>
  <c r="BO9" i="30"/>
  <c r="BP9" i="30"/>
  <c r="BQ9" i="30"/>
  <c r="BR9" i="30"/>
  <c r="BS9" i="30"/>
  <c r="BT9" i="30"/>
  <c r="BU9" i="30"/>
  <c r="BV9" i="30"/>
  <c r="BW9" i="30"/>
  <c r="BX9" i="30"/>
  <c r="BY9" i="30"/>
  <c r="BZ9" i="30"/>
  <c r="CA9" i="30"/>
  <c r="AF52" i="30"/>
  <c r="AG52" i="30"/>
  <c r="AH52" i="30"/>
  <c r="AI52" i="30"/>
  <c r="AJ52" i="30"/>
  <c r="AK52" i="30"/>
  <c r="AL52" i="30"/>
  <c r="AM52" i="30"/>
  <c r="AN52" i="30"/>
  <c r="AO52" i="30"/>
  <c r="AP52" i="30"/>
  <c r="AQ52" i="30"/>
  <c r="AR52" i="30"/>
  <c r="AS52" i="30"/>
  <c r="AT52" i="30"/>
  <c r="AU52" i="30"/>
  <c r="AV52" i="30"/>
  <c r="AW52" i="30"/>
  <c r="AX52" i="30"/>
  <c r="AY52" i="30"/>
  <c r="AZ52" i="30"/>
  <c r="BA52" i="30"/>
  <c r="BB52" i="30"/>
  <c r="BC52" i="30"/>
  <c r="BD52" i="30"/>
  <c r="BE52" i="30"/>
  <c r="BF52" i="30"/>
  <c r="BG52" i="30"/>
  <c r="BH52" i="30"/>
  <c r="BI52" i="30"/>
  <c r="BJ52" i="30"/>
  <c r="BK52" i="30"/>
  <c r="BL52" i="30"/>
  <c r="BM52" i="30"/>
  <c r="BN52" i="30"/>
  <c r="BO52" i="30"/>
  <c r="BP52" i="30"/>
  <c r="BQ52" i="30"/>
  <c r="BR52" i="30"/>
  <c r="BS52" i="30"/>
  <c r="BT52" i="30"/>
  <c r="BU52" i="30"/>
  <c r="BV52" i="30"/>
  <c r="BW52" i="30"/>
  <c r="BX52" i="30"/>
  <c r="BY52" i="30"/>
  <c r="BZ52" i="30"/>
  <c r="CA52" i="30"/>
  <c r="AF53" i="30"/>
  <c r="AG53" i="30"/>
  <c r="AH53" i="30"/>
  <c r="AI53" i="30"/>
  <c r="AJ53" i="30"/>
  <c r="AK53" i="30"/>
  <c r="AL53" i="30"/>
  <c r="AM53" i="30"/>
  <c r="AN53" i="30"/>
  <c r="AO53" i="30"/>
  <c r="AP53" i="30"/>
  <c r="AQ53" i="30"/>
  <c r="AR53" i="30"/>
  <c r="AS53" i="30"/>
  <c r="AT53" i="30"/>
  <c r="AU53" i="30"/>
  <c r="AV53" i="30"/>
  <c r="AW53" i="30"/>
  <c r="AX53" i="30"/>
  <c r="AY53" i="30"/>
  <c r="AZ53" i="30"/>
  <c r="BA53" i="30"/>
  <c r="BB53" i="30"/>
  <c r="BC53" i="30"/>
  <c r="BD53" i="30"/>
  <c r="BE53" i="30"/>
  <c r="BF53" i="30"/>
  <c r="BG53" i="30"/>
  <c r="BH53" i="30"/>
  <c r="BI53" i="30"/>
  <c r="BJ53" i="30"/>
  <c r="BK53" i="30"/>
  <c r="BL53" i="30"/>
  <c r="BM53" i="30"/>
  <c r="BN53" i="30"/>
  <c r="BO53" i="30"/>
  <c r="BP53" i="30"/>
  <c r="BQ53" i="30"/>
  <c r="BR53" i="30"/>
  <c r="BS53" i="30"/>
  <c r="BT53" i="30"/>
  <c r="BU53" i="30"/>
  <c r="BV53" i="30"/>
  <c r="BW53" i="30"/>
  <c r="BX53" i="30"/>
  <c r="BY53" i="30"/>
  <c r="BZ53" i="30"/>
  <c r="CA53" i="30"/>
  <c r="AF54" i="30"/>
  <c r="AG54" i="30"/>
  <c r="AH54" i="30"/>
  <c r="AI54" i="30"/>
  <c r="AJ54" i="30"/>
  <c r="AK54" i="30"/>
  <c r="AL54" i="30"/>
  <c r="AM54" i="30"/>
  <c r="AN54" i="30"/>
  <c r="AO54" i="30"/>
  <c r="AP54" i="30"/>
  <c r="AQ54" i="30"/>
  <c r="AR54" i="30"/>
  <c r="AS54" i="30"/>
  <c r="AT54" i="30"/>
  <c r="AU54" i="30"/>
  <c r="AV54" i="30"/>
  <c r="AW54" i="30"/>
  <c r="AX54" i="30"/>
  <c r="AY54" i="30"/>
  <c r="AZ54" i="30"/>
  <c r="BA54" i="30"/>
  <c r="BB54" i="30"/>
  <c r="BC54" i="30"/>
  <c r="BD54" i="30"/>
  <c r="BE54" i="30"/>
  <c r="BF54" i="30"/>
  <c r="BG54" i="30"/>
  <c r="BH54" i="30"/>
  <c r="BI54" i="30"/>
  <c r="BJ54" i="30"/>
  <c r="BK54" i="30"/>
  <c r="BL54" i="30"/>
  <c r="BM54" i="30"/>
  <c r="BN54" i="30"/>
  <c r="BO54" i="30"/>
  <c r="BP54" i="30"/>
  <c r="BQ54" i="30"/>
  <c r="BR54" i="30"/>
  <c r="BS54" i="30"/>
  <c r="BT54" i="30"/>
  <c r="BU54" i="30"/>
  <c r="BV54" i="30"/>
  <c r="BW54" i="30"/>
  <c r="BX54" i="30"/>
  <c r="BY54" i="30"/>
  <c r="BZ54" i="30"/>
  <c r="CA54" i="30"/>
  <c r="AF55" i="30"/>
  <c r="AG55" i="30"/>
  <c r="AH55" i="30"/>
  <c r="AI55" i="30"/>
  <c r="AJ55" i="30"/>
  <c r="AK55" i="30"/>
  <c r="AL55" i="30"/>
  <c r="AM55" i="30"/>
  <c r="AN55" i="30"/>
  <c r="AO55" i="30"/>
  <c r="AP55" i="30"/>
  <c r="AQ55" i="30"/>
  <c r="AR55" i="30"/>
  <c r="AS55" i="30"/>
  <c r="AT55" i="30"/>
  <c r="AU55" i="30"/>
  <c r="AV55" i="30"/>
  <c r="AW55" i="30"/>
  <c r="AX55" i="30"/>
  <c r="AY55" i="30"/>
  <c r="AZ55" i="30"/>
  <c r="BA55" i="30"/>
  <c r="BB55" i="30"/>
  <c r="BC55" i="30"/>
  <c r="BD55" i="30"/>
  <c r="BE55" i="30"/>
  <c r="BF55" i="30"/>
  <c r="BG55" i="30"/>
  <c r="BH55" i="30"/>
  <c r="BI55" i="30"/>
  <c r="BJ55" i="30"/>
  <c r="BK55" i="30"/>
  <c r="BL55" i="30"/>
  <c r="BM55" i="30"/>
  <c r="BN55" i="30"/>
  <c r="BO55" i="30"/>
  <c r="BP55" i="30"/>
  <c r="BQ55" i="30"/>
  <c r="BR55" i="30"/>
  <c r="BS55" i="30"/>
  <c r="BT55" i="30"/>
  <c r="BU55" i="30"/>
  <c r="BV55" i="30"/>
  <c r="BW55" i="30"/>
  <c r="BX55" i="30"/>
  <c r="BY55" i="30"/>
  <c r="BZ55" i="30"/>
  <c r="CA55" i="30"/>
  <c r="AF58" i="30"/>
  <c r="AG58" i="30"/>
  <c r="AH58" i="30"/>
  <c r="AI58" i="30"/>
  <c r="AJ58" i="30"/>
  <c r="AK58" i="30"/>
  <c r="AL58" i="30"/>
  <c r="AM58" i="30"/>
  <c r="AN58" i="30"/>
  <c r="AO58" i="30"/>
  <c r="AP58" i="30"/>
  <c r="AQ58" i="30"/>
  <c r="AR58" i="30"/>
  <c r="AS58" i="30"/>
  <c r="AT58" i="30"/>
  <c r="AU58" i="30"/>
  <c r="AV58" i="30"/>
  <c r="AW58" i="30"/>
  <c r="AX58" i="30"/>
  <c r="AY58" i="30"/>
  <c r="AZ58" i="30"/>
  <c r="BA58" i="30"/>
  <c r="BB58" i="30"/>
  <c r="BC58" i="30"/>
  <c r="BD58" i="30"/>
  <c r="BE58" i="30"/>
  <c r="BF58" i="30"/>
  <c r="BG58" i="30"/>
  <c r="BH58" i="30"/>
  <c r="BI58" i="30"/>
  <c r="BJ58" i="30"/>
  <c r="BK58" i="30"/>
  <c r="BL58" i="30"/>
  <c r="BM58" i="30"/>
  <c r="BN58" i="30"/>
  <c r="BO58" i="30"/>
  <c r="BP58" i="30"/>
  <c r="BQ58" i="30"/>
  <c r="BR58" i="30"/>
  <c r="BS58" i="30"/>
  <c r="BT58" i="30"/>
  <c r="BU58" i="30"/>
  <c r="BV58" i="30"/>
  <c r="BW58" i="30"/>
  <c r="BX58" i="30"/>
  <c r="BY58" i="30"/>
  <c r="BZ58" i="30"/>
  <c r="CA58" i="30"/>
  <c r="AF59" i="30"/>
  <c r="AG59" i="30"/>
  <c r="AH59" i="30"/>
  <c r="AI59" i="30"/>
  <c r="AJ59" i="30"/>
  <c r="AK59" i="30"/>
  <c r="AL59" i="30"/>
  <c r="AM59" i="30"/>
  <c r="AN59" i="30"/>
  <c r="AO59" i="30"/>
  <c r="AP59" i="30"/>
  <c r="AQ59" i="30"/>
  <c r="AR59" i="30"/>
  <c r="AS59" i="30"/>
  <c r="AT59" i="30"/>
  <c r="AU59" i="30"/>
  <c r="AV59" i="30"/>
  <c r="AW59" i="30"/>
  <c r="AX59" i="30"/>
  <c r="AY59" i="30"/>
  <c r="AZ59" i="30"/>
  <c r="BA59" i="30"/>
  <c r="BB59" i="30"/>
  <c r="BC59" i="30"/>
  <c r="BD59" i="30"/>
  <c r="BE59" i="30"/>
  <c r="BF59" i="30"/>
  <c r="BG59" i="30"/>
  <c r="BH59" i="30"/>
  <c r="BI59" i="30"/>
  <c r="BJ59" i="30"/>
  <c r="BK59" i="30"/>
  <c r="BL59" i="30"/>
  <c r="BM59" i="30"/>
  <c r="BN59" i="30"/>
  <c r="BO59" i="30"/>
  <c r="BP59" i="30"/>
  <c r="BQ59" i="30"/>
  <c r="BR59" i="30"/>
  <c r="BS59" i="30"/>
  <c r="BT59" i="30"/>
  <c r="BU59" i="30"/>
  <c r="BV59" i="30"/>
  <c r="BW59" i="30"/>
  <c r="BX59" i="30"/>
  <c r="BY59" i="30"/>
  <c r="BZ59" i="30"/>
  <c r="CA59" i="30"/>
  <c r="AF60" i="30"/>
  <c r="AG60" i="30"/>
  <c r="AH60" i="30"/>
  <c r="AI60" i="30"/>
  <c r="AJ60" i="30"/>
  <c r="AK60" i="30"/>
  <c r="AL60" i="30"/>
  <c r="AM60" i="30"/>
  <c r="AN60" i="30"/>
  <c r="AO60" i="30"/>
  <c r="AP60" i="30"/>
  <c r="AQ60" i="30"/>
  <c r="AR60" i="30"/>
  <c r="AS60" i="30"/>
  <c r="AT60" i="30"/>
  <c r="AU60" i="30"/>
  <c r="AV60" i="30"/>
  <c r="AW60" i="30"/>
  <c r="AX60" i="30"/>
  <c r="AY60" i="30"/>
  <c r="AZ60" i="30"/>
  <c r="BA60" i="30"/>
  <c r="BB60" i="30"/>
  <c r="BC60" i="30"/>
  <c r="BD60" i="30"/>
  <c r="BE60" i="30"/>
  <c r="BF60" i="30"/>
  <c r="BG60" i="30"/>
  <c r="BH60" i="30"/>
  <c r="BI60" i="30"/>
  <c r="BJ60" i="30"/>
  <c r="BK60" i="30"/>
  <c r="BL60" i="30"/>
  <c r="BM60" i="30"/>
  <c r="BN60" i="30"/>
  <c r="BO60" i="30"/>
  <c r="BP60" i="30"/>
  <c r="BQ60" i="30"/>
  <c r="BR60" i="30"/>
  <c r="BS60" i="30"/>
  <c r="BT60" i="30"/>
  <c r="BU60" i="30"/>
  <c r="BV60" i="30"/>
  <c r="BW60" i="30"/>
  <c r="BX60" i="30"/>
  <c r="BY60" i="30"/>
  <c r="BZ60" i="30"/>
  <c r="CA60" i="30"/>
  <c r="AF61" i="30"/>
  <c r="ER61" i="30" s="1"/>
  <c r="AG61" i="30"/>
  <c r="AH61" i="30"/>
  <c r="AI61" i="30"/>
  <c r="AJ61" i="30"/>
  <c r="AK61" i="30"/>
  <c r="AL61" i="30"/>
  <c r="AM61" i="30"/>
  <c r="AN61" i="30"/>
  <c r="AO61" i="30"/>
  <c r="AP61" i="30"/>
  <c r="AQ61" i="30"/>
  <c r="AR61" i="30"/>
  <c r="ES61" i="30" s="1"/>
  <c r="AS61" i="30"/>
  <c r="AT61" i="30"/>
  <c r="AU61" i="30"/>
  <c r="AV61" i="30"/>
  <c r="AW61" i="30"/>
  <c r="AX61" i="30"/>
  <c r="AY61" i="30"/>
  <c r="AZ61" i="30"/>
  <c r="BA61" i="30"/>
  <c r="BB61" i="30"/>
  <c r="BC61" i="30"/>
  <c r="BD61" i="30"/>
  <c r="ET61" i="30" s="1"/>
  <c r="BE61" i="30"/>
  <c r="BF61" i="30"/>
  <c r="BG61" i="30"/>
  <c r="BH61" i="30"/>
  <c r="BI61" i="30"/>
  <c r="BJ61" i="30"/>
  <c r="BK61" i="30"/>
  <c r="BL61" i="30"/>
  <c r="BM61" i="30"/>
  <c r="BN61" i="30"/>
  <c r="BO61" i="30"/>
  <c r="BP61" i="30"/>
  <c r="EU61" i="30" s="1"/>
  <c r="BQ61" i="30"/>
  <c r="BR61" i="30"/>
  <c r="BS61" i="30"/>
  <c r="BT61" i="30"/>
  <c r="BU61" i="30"/>
  <c r="BV61" i="30"/>
  <c r="BW61" i="30"/>
  <c r="BX61" i="30"/>
  <c r="BY61" i="30"/>
  <c r="BZ61" i="30"/>
  <c r="CA61" i="30"/>
  <c r="AF62" i="30"/>
  <c r="AG62" i="30"/>
  <c r="AH62" i="30"/>
  <c r="AI62" i="30"/>
  <c r="AJ62" i="30"/>
  <c r="AK62" i="30"/>
  <c r="AL62" i="30"/>
  <c r="AM62" i="30"/>
  <c r="AN62" i="30"/>
  <c r="AO62" i="30"/>
  <c r="AP62" i="30"/>
  <c r="AQ62" i="30"/>
  <c r="AR62" i="30"/>
  <c r="AS62" i="30"/>
  <c r="AT62" i="30"/>
  <c r="AU62" i="30"/>
  <c r="AV62" i="30"/>
  <c r="AW62" i="30"/>
  <c r="AX62" i="30"/>
  <c r="AY62" i="30"/>
  <c r="AZ62" i="30"/>
  <c r="BA62" i="30"/>
  <c r="BB62" i="30"/>
  <c r="BC62" i="30"/>
  <c r="BD62" i="30"/>
  <c r="BE62" i="30"/>
  <c r="BF62" i="30"/>
  <c r="BG62" i="30"/>
  <c r="BH62" i="30"/>
  <c r="BI62" i="30"/>
  <c r="BJ62" i="30"/>
  <c r="BK62" i="30"/>
  <c r="BL62" i="30"/>
  <c r="BM62" i="30"/>
  <c r="BN62" i="30"/>
  <c r="BO62" i="30"/>
  <c r="BP62" i="30"/>
  <c r="BQ62" i="30"/>
  <c r="BR62" i="30"/>
  <c r="BS62" i="30"/>
  <c r="BT62" i="30"/>
  <c r="BU62" i="30"/>
  <c r="BV62" i="30"/>
  <c r="BW62" i="30"/>
  <c r="BX62" i="30"/>
  <c r="BY62" i="30"/>
  <c r="BZ62" i="30"/>
  <c r="CA62" i="30"/>
  <c r="AF63" i="30"/>
  <c r="AG63" i="30"/>
  <c r="AH63" i="30"/>
  <c r="AI63" i="30"/>
  <c r="AJ63" i="30"/>
  <c r="AK63" i="30"/>
  <c r="AL63" i="30"/>
  <c r="AM63" i="30"/>
  <c r="AN63" i="30"/>
  <c r="AO63" i="30"/>
  <c r="AP63" i="30"/>
  <c r="AQ63" i="30"/>
  <c r="AR63" i="30"/>
  <c r="AS63" i="30"/>
  <c r="AT63" i="30"/>
  <c r="AU63" i="30"/>
  <c r="AV63" i="30"/>
  <c r="AW63" i="30"/>
  <c r="AX63" i="30"/>
  <c r="AY63" i="30"/>
  <c r="AZ63" i="30"/>
  <c r="BA63" i="30"/>
  <c r="BB63" i="30"/>
  <c r="BC63" i="30"/>
  <c r="BD63" i="30"/>
  <c r="BE63" i="30"/>
  <c r="BF63" i="30"/>
  <c r="BG63" i="30"/>
  <c r="BH63" i="30"/>
  <c r="BI63" i="30"/>
  <c r="BJ63" i="30"/>
  <c r="BK63" i="30"/>
  <c r="BL63" i="30"/>
  <c r="BM63" i="30"/>
  <c r="BN63" i="30"/>
  <c r="BO63" i="30"/>
  <c r="BP63" i="30"/>
  <c r="BQ63" i="30"/>
  <c r="BR63" i="30"/>
  <c r="BS63" i="30"/>
  <c r="BT63" i="30"/>
  <c r="BU63" i="30"/>
  <c r="BV63" i="30"/>
  <c r="BW63" i="30"/>
  <c r="BX63" i="30"/>
  <c r="BY63" i="30"/>
  <c r="BZ63" i="30"/>
  <c r="CA63" i="30"/>
  <c r="AF64" i="30"/>
  <c r="AG64" i="30"/>
  <c r="AH64" i="30"/>
  <c r="AI64" i="30"/>
  <c r="AJ64" i="30"/>
  <c r="AK64" i="30"/>
  <c r="AL64" i="30"/>
  <c r="AM64" i="30"/>
  <c r="AN64" i="30"/>
  <c r="AO64" i="30"/>
  <c r="AP64" i="30"/>
  <c r="AQ64" i="30"/>
  <c r="AR64" i="30"/>
  <c r="AS64" i="30"/>
  <c r="AT64" i="30"/>
  <c r="AU64" i="30"/>
  <c r="AV64" i="30"/>
  <c r="AW64" i="30"/>
  <c r="AX64" i="30"/>
  <c r="AY64" i="30"/>
  <c r="AZ64" i="30"/>
  <c r="BA64" i="30"/>
  <c r="BB64" i="30"/>
  <c r="BC64" i="30"/>
  <c r="BD64" i="30"/>
  <c r="BE64" i="30"/>
  <c r="BF64" i="30"/>
  <c r="BG64" i="30"/>
  <c r="BH64" i="30"/>
  <c r="BI64" i="30"/>
  <c r="BJ64" i="30"/>
  <c r="BK64" i="30"/>
  <c r="BL64" i="30"/>
  <c r="BM64" i="30"/>
  <c r="BN64" i="30"/>
  <c r="BO64" i="30"/>
  <c r="BP64" i="30"/>
  <c r="BQ64" i="30"/>
  <c r="BR64" i="30"/>
  <c r="BS64" i="30"/>
  <c r="BT64" i="30"/>
  <c r="BU64" i="30"/>
  <c r="BV64" i="30"/>
  <c r="BW64" i="30"/>
  <c r="BX64" i="30"/>
  <c r="BY64" i="30"/>
  <c r="BZ64" i="30"/>
  <c r="CA64" i="30"/>
  <c r="AF65" i="30"/>
  <c r="AG65" i="30"/>
  <c r="AH65" i="30"/>
  <c r="AI65" i="30"/>
  <c r="AJ65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BG65" i="30"/>
  <c r="BH65" i="30"/>
  <c r="BI65" i="30"/>
  <c r="BJ65" i="30"/>
  <c r="BK65" i="30"/>
  <c r="BL65" i="30"/>
  <c r="BM65" i="30"/>
  <c r="BN65" i="30"/>
  <c r="BO65" i="30"/>
  <c r="BP65" i="30"/>
  <c r="BQ65" i="30"/>
  <c r="BR65" i="30"/>
  <c r="BS65" i="30"/>
  <c r="BT65" i="30"/>
  <c r="BU65" i="30"/>
  <c r="BV65" i="30"/>
  <c r="BW65" i="30"/>
  <c r="BX65" i="30"/>
  <c r="BY65" i="30"/>
  <c r="BZ65" i="30"/>
  <c r="CA65" i="30"/>
  <c r="AG6" i="30"/>
  <c r="AH6" i="30"/>
  <c r="AI6" i="30"/>
  <c r="AJ6" i="30"/>
  <c r="AK6" i="30"/>
  <c r="AL6" i="30"/>
  <c r="AM6" i="30"/>
  <c r="AN6" i="30"/>
  <c r="AO6" i="30"/>
  <c r="AP6" i="30"/>
  <c r="AQ6" i="30"/>
  <c r="AR6" i="30"/>
  <c r="AS6" i="30"/>
  <c r="AT6" i="30"/>
  <c r="AU6" i="30"/>
  <c r="AV6" i="30"/>
  <c r="AW6" i="30"/>
  <c r="AX6" i="30"/>
  <c r="AY6" i="30"/>
  <c r="AZ6" i="30"/>
  <c r="BA6" i="30"/>
  <c r="BB6" i="30"/>
  <c r="BC6" i="30"/>
  <c r="BD6" i="30"/>
  <c r="BE6" i="30"/>
  <c r="BF6" i="30"/>
  <c r="BG6" i="30"/>
  <c r="BH6" i="30"/>
  <c r="BI6" i="30"/>
  <c r="BJ6" i="30"/>
  <c r="BK6" i="30"/>
  <c r="BL6" i="30"/>
  <c r="BM6" i="30"/>
  <c r="BN6" i="30"/>
  <c r="BO6" i="30"/>
  <c r="BP6" i="30"/>
  <c r="BQ6" i="30"/>
  <c r="BR6" i="30"/>
  <c r="BS6" i="30"/>
  <c r="BT6" i="30"/>
  <c r="BU6" i="30"/>
  <c r="BV6" i="30"/>
  <c r="BW6" i="30"/>
  <c r="BX6" i="30"/>
  <c r="BY6" i="30"/>
  <c r="BZ6" i="30"/>
  <c r="CA6" i="30"/>
  <c r="AF6" i="30"/>
  <c r="EU65" i="30" l="1"/>
  <c r="ER65" i="30"/>
  <c r="ES65" i="30"/>
  <c r="ET65" i="30"/>
  <c r="H10" i="31"/>
  <c r="EW5" i="30"/>
  <c r="FF5" i="30"/>
  <c r="FO5" i="30"/>
  <c r="I2" i="31"/>
  <c r="ED71" i="30"/>
  <c r="DU71" i="30"/>
  <c r="DU5" i="30"/>
  <c r="ED5" i="30"/>
  <c r="EM5" i="30"/>
  <c r="DP22" i="30"/>
  <c r="DQ22" i="30"/>
  <c r="DR22" i="30"/>
  <c r="DS22" i="30"/>
  <c r="DQ8" i="30"/>
  <c r="DS8" i="30"/>
  <c r="DR8" i="30"/>
  <c r="DP8" i="30"/>
  <c r="DZ6" i="30"/>
  <c r="EB6" i="30"/>
  <c r="DY6" i="30"/>
  <c r="EA6" i="30"/>
  <c r="DS65" i="30"/>
  <c r="DQ65" i="30"/>
  <c r="DP65" i="30"/>
  <c r="DR65" i="30"/>
  <c r="AF5" i="30"/>
  <c r="AG5" i="30" s="1"/>
  <c r="I10" i="31" l="1"/>
  <c r="EX5" i="30"/>
  <c r="FG5" i="30"/>
  <c r="FP5" i="30"/>
  <c r="EE71" i="30"/>
  <c r="EN5" i="30"/>
  <c r="DV5" i="30"/>
  <c r="EE5" i="30"/>
  <c r="DV71" i="30"/>
  <c r="AF4" i="30"/>
  <c r="AG4" i="30"/>
  <c r="AH5" i="30"/>
  <c r="AH4" i="30" l="1"/>
  <c r="AI5" i="30"/>
  <c r="AJ5" i="30" l="1"/>
  <c r="AI4" i="30"/>
  <c r="AK5" i="30" l="1"/>
  <c r="AJ4" i="30"/>
  <c r="AL5" i="30" l="1"/>
  <c r="AK4" i="30"/>
  <c r="AM5" i="30" l="1"/>
  <c r="AL4" i="30"/>
  <c r="AN5" i="30" l="1"/>
  <c r="AM4" i="30"/>
  <c r="AO5" i="30" l="1"/>
  <c r="AN4" i="30"/>
  <c r="AO4" i="30" l="1"/>
  <c r="AP5" i="30"/>
  <c r="AP4" i="30" l="1"/>
  <c r="AQ5" i="30"/>
  <c r="AQ4" i="30" l="1"/>
  <c r="AR5" i="30"/>
  <c r="AS5" i="30" l="1"/>
  <c r="AR4" i="30"/>
  <c r="AT5" i="30" l="1"/>
  <c r="AS4" i="30"/>
  <c r="AU5" i="30" l="1"/>
  <c r="AT4" i="30"/>
  <c r="AV5" i="30" l="1"/>
  <c r="AU4" i="30"/>
  <c r="AV4" i="30" l="1"/>
  <c r="AW5" i="30"/>
  <c r="AW4" i="30" l="1"/>
  <c r="AX5" i="30"/>
  <c r="AX4" i="30" l="1"/>
  <c r="AY5" i="30"/>
  <c r="AZ5" i="30" l="1"/>
  <c r="AY4" i="30"/>
  <c r="BA5" i="30" l="1"/>
  <c r="AZ4" i="30"/>
  <c r="BB5" i="30" l="1"/>
  <c r="BA4" i="30"/>
  <c r="BC5" i="30" l="1"/>
  <c r="BB4" i="30"/>
  <c r="BD5" i="30" l="1"/>
  <c r="BC4" i="30"/>
  <c r="BD4" i="30" l="1"/>
  <c r="BE5" i="30"/>
  <c r="BE4" i="30" l="1"/>
  <c r="BF5" i="30"/>
  <c r="BF4" i="30" l="1"/>
  <c r="BG5" i="30"/>
  <c r="BH5" i="30" l="1"/>
  <c r="BG4" i="30"/>
  <c r="BI5" i="30" l="1"/>
  <c r="BH4" i="30"/>
  <c r="BJ5" i="30" l="1"/>
  <c r="BI4" i="30"/>
  <c r="BK5" i="30" l="1"/>
  <c r="BJ4" i="30"/>
  <c r="BL5" i="30" l="1"/>
  <c r="BK4" i="30"/>
  <c r="BM5" i="30" l="1"/>
  <c r="BL4" i="30"/>
  <c r="BM4" i="30" l="1"/>
  <c r="BN5" i="30"/>
  <c r="BN4" i="30" l="1"/>
  <c r="BO5" i="30"/>
  <c r="BO4" i="30" l="1"/>
  <c r="BP5" i="30"/>
  <c r="BQ5" i="30" l="1"/>
  <c r="BP4" i="30"/>
  <c r="BR5" i="30" l="1"/>
  <c r="BQ4" i="30"/>
  <c r="BS5" i="30" l="1"/>
  <c r="BR4" i="30"/>
  <c r="BT5" i="30" l="1"/>
  <c r="BS4" i="30"/>
  <c r="BT4" i="30" l="1"/>
  <c r="BU5" i="30"/>
  <c r="BU4" i="30" l="1"/>
  <c r="BV5" i="30"/>
  <c r="BV4" i="30" l="1"/>
  <c r="BW5" i="30"/>
  <c r="BX5" i="30" l="1"/>
  <c r="BW4" i="30"/>
  <c r="BY5" i="30" l="1"/>
  <c r="BX4" i="30"/>
  <c r="BZ5" i="30" l="1"/>
  <c r="BY4" i="30"/>
  <c r="CA5" i="30" l="1"/>
  <c r="CB5" i="30" s="1"/>
  <c r="BZ4" i="30"/>
  <c r="CB4" i="30" l="1"/>
  <c r="CC5" i="30"/>
  <c r="CA4" i="30"/>
  <c r="CC4" i="30" l="1"/>
  <c r="CD5" i="30"/>
  <c r="CE5" i="30" l="1"/>
  <c r="CD4" i="30"/>
  <c r="CE4" i="30" l="1"/>
  <c r="CF5" i="30"/>
  <c r="CF4" i="30" l="1"/>
  <c r="CG5" i="30"/>
  <c r="CH5" i="30" l="1"/>
  <c r="CG4" i="30"/>
  <c r="CI5" i="30" l="1"/>
  <c r="CH4" i="30"/>
  <c r="CJ5" i="30" l="1"/>
  <c r="CI4" i="30"/>
  <c r="CJ4" i="30" l="1"/>
  <c r="CK5" i="30"/>
  <c r="CK4" i="30" l="1"/>
  <c r="CL5" i="30"/>
  <c r="CL4" i="30" l="1"/>
  <c r="CM5" i="30"/>
  <c r="CN5" i="30" l="1"/>
  <c r="CM4" i="30"/>
  <c r="CO5" i="30" l="1"/>
  <c r="CN4" i="30"/>
  <c r="CP5" i="30" l="1"/>
  <c r="CO4" i="30"/>
  <c r="CQ5" i="30" l="1"/>
  <c r="CP4" i="30"/>
  <c r="CR5" i="30" l="1"/>
  <c r="CQ4" i="30"/>
  <c r="CR4" i="30" l="1"/>
  <c r="CS5" i="30"/>
  <c r="CT5" i="30" l="1"/>
  <c r="CS4" i="30"/>
  <c r="CT4" i="30" l="1"/>
  <c r="CU5" i="30"/>
  <c r="CV5" i="30" l="1"/>
  <c r="CU4" i="30"/>
  <c r="CV4" i="30" l="1"/>
  <c r="CW5" i="30"/>
  <c r="CX5" i="30" l="1"/>
  <c r="CW4" i="30"/>
  <c r="CY5" i="30" l="1"/>
  <c r="CX4" i="30"/>
  <c r="CY4" i="30" l="1"/>
  <c r="CZ5" i="30"/>
  <c r="DA5" i="30" l="1"/>
  <c r="CZ4" i="30"/>
  <c r="DB5" i="30" l="1"/>
  <c r="DA4" i="30"/>
  <c r="DB4" i="30" l="1"/>
  <c r="DC5" i="30"/>
  <c r="DD5" i="30" l="1"/>
  <c r="DC4" i="30"/>
  <c r="DE5" i="30" l="1"/>
  <c r="DD4" i="30"/>
  <c r="DF5" i="30" l="1"/>
  <c r="DE4" i="30"/>
  <c r="DF4" i="30" l="1"/>
  <c r="DG5" i="30"/>
  <c r="DG4" i="30" l="1"/>
  <c r="DH5" i="30"/>
  <c r="DI5" i="30" l="1"/>
  <c r="DH4" i="30"/>
  <c r="DI4" i="30" l="1"/>
  <c r="DJ5" i="30"/>
  <c r="DJ4" i="30" l="1"/>
  <c r="DK5" i="30"/>
  <c r="DK4" i="30" s="1"/>
  <c r="FB46" i="30" l="1"/>
  <c r="FD46" i="30"/>
  <c r="FE31" i="30"/>
  <c r="FD36" i="30"/>
  <c r="EC41" i="30"/>
  <c r="FD41" i="30"/>
  <c r="FF56" i="30"/>
  <c r="FG36" i="30"/>
  <c r="FG31" i="30"/>
  <c r="FG56" i="30"/>
  <c r="FD31" i="30"/>
  <c r="EE41" i="30"/>
  <c r="FA56" i="30"/>
  <c r="FF46" i="30"/>
  <c r="FC36" i="30"/>
  <c r="FC31" i="30"/>
  <c r="FE36" i="30"/>
  <c r="FC46" i="30"/>
  <c r="FC41" i="30"/>
  <c r="FF36" i="30"/>
  <c r="FD51" i="30"/>
  <c r="FC56" i="30"/>
  <c r="FD56" i="30"/>
  <c r="ED41" i="30"/>
  <c r="FE46" i="30"/>
  <c r="EB41" i="30"/>
  <c r="FA46" i="30"/>
  <c r="FG51" i="30"/>
  <c r="FB56" i="30"/>
  <c r="FB31" i="30"/>
  <c r="FE51" i="30"/>
  <c r="FB41" i="30"/>
  <c r="FE56" i="30"/>
  <c r="FB36" i="30"/>
  <c r="DZ41" i="30"/>
  <c r="FA36" i="30"/>
  <c r="FF31" i="30"/>
  <c r="FF41" i="30"/>
  <c r="FA31" i="30"/>
  <c r="FE41" i="30"/>
  <c r="FG41" i="30"/>
  <c r="FF51" i="30"/>
  <c r="FG46" i="30"/>
  <c r="EA41" i="30"/>
  <c r="FC51" i="30"/>
  <c r="FA41" i="30"/>
  <c r="DY41" i="30"/>
  <c r="FA51" i="30"/>
  <c r="FB51" i="30"/>
  <c r="FF10" i="30"/>
  <c r="FA17" i="30"/>
  <c r="FA44" i="30"/>
  <c r="FA60" i="30"/>
  <c r="FA9" i="30"/>
  <c r="FA22" i="30"/>
  <c r="FA35" i="30"/>
  <c r="FA58" i="30"/>
  <c r="FA27" i="30"/>
  <c r="FA57" i="30"/>
  <c r="FA19" i="30"/>
  <c r="FA37" i="30"/>
  <c r="FA38" i="30"/>
  <c r="ES56" i="30"/>
  <c r="DP46" i="30"/>
  <c r="ES36" i="30"/>
  <c r="ER31" i="30"/>
  <c r="DZ29" i="30"/>
  <c r="FA49" i="30"/>
  <c r="FB8" i="30"/>
  <c r="FB25" i="30"/>
  <c r="FA39" i="30"/>
  <c r="ER56" i="30"/>
  <c r="ER36" i="30"/>
  <c r="DQ31" i="30"/>
  <c r="FB39" i="30"/>
  <c r="ES11" i="30"/>
  <c r="FF15" i="30"/>
  <c r="FF52" i="30"/>
  <c r="FF12" i="30"/>
  <c r="FF38" i="30"/>
  <c r="FA62" i="30"/>
  <c r="FA32" i="30"/>
  <c r="FA61" i="30"/>
  <c r="FA23" i="30"/>
  <c r="FA48" i="30"/>
  <c r="DQ36" i="30"/>
  <c r="DP31" i="30"/>
  <c r="FB15" i="30"/>
  <c r="FB33" i="30"/>
  <c r="EC35" i="30"/>
  <c r="FF49" i="30"/>
  <c r="FF60" i="30"/>
  <c r="FB45" i="30"/>
  <c r="FB52" i="30"/>
  <c r="FB62" i="30"/>
  <c r="DR56" i="30"/>
  <c r="FF8" i="30"/>
  <c r="FC63" i="30"/>
  <c r="FD49" i="30"/>
  <c r="FD62" i="30"/>
  <c r="FB19" i="30"/>
  <c r="FB22" i="30"/>
  <c r="FB24" i="30"/>
  <c r="FB27" i="30"/>
  <c r="FB29" i="30"/>
  <c r="FB32" i="30"/>
  <c r="FB34" i="30"/>
  <c r="FB7" i="30"/>
  <c r="FA34" i="30"/>
  <c r="FA53" i="30"/>
  <c r="DP56" i="30"/>
  <c r="FB37" i="30"/>
  <c r="FF39" i="30"/>
  <c r="FF65" i="30"/>
  <c r="FA64" i="30"/>
  <c r="FB9" i="30"/>
  <c r="FB40" i="30"/>
  <c r="FB63" i="30"/>
  <c r="FC59" i="30"/>
  <c r="DS31" i="30"/>
  <c r="ET11" i="30"/>
  <c r="FD13" i="30"/>
  <c r="FD29" i="30"/>
  <c r="EU31" i="30"/>
  <c r="FD32" i="30"/>
  <c r="FD24" i="30"/>
  <c r="ER11" i="30"/>
  <c r="FF32" i="30"/>
  <c r="ED29" i="30"/>
  <c r="FD28" i="30"/>
  <c r="FF44" i="30"/>
  <c r="FC37" i="30"/>
  <c r="FC47" i="30"/>
  <c r="ER26" i="30"/>
  <c r="FE53" i="30"/>
  <c r="DR31" i="30"/>
  <c r="EA35" i="30"/>
  <c r="FC64" i="30"/>
  <c r="FC61" i="30"/>
  <c r="FC58" i="30"/>
  <c r="FC54" i="30"/>
  <c r="FC49" i="30"/>
  <c r="FD43" i="30"/>
  <c r="FD34" i="30"/>
  <c r="FD25" i="30"/>
  <c r="FF48" i="30"/>
  <c r="FC35" i="30"/>
  <c r="FC38" i="30"/>
  <c r="FC42" i="30"/>
  <c r="FC9" i="30"/>
  <c r="DR46" i="30"/>
  <c r="FD33" i="30"/>
  <c r="FF30" i="30"/>
  <c r="DU56" i="30"/>
  <c r="FE28" i="30"/>
  <c r="FE52" i="30"/>
  <c r="FF61" i="30"/>
  <c r="DU36" i="30"/>
  <c r="FB47" i="30"/>
  <c r="FB53" i="30"/>
  <c r="FB60" i="30"/>
  <c r="FB61" i="30"/>
  <c r="FC44" i="30"/>
  <c r="ET56" i="30"/>
  <c r="FD44" i="30"/>
  <c r="FD50" i="30"/>
  <c r="FF45" i="30"/>
  <c r="FC8" i="30"/>
  <c r="ET36" i="30"/>
  <c r="FC10" i="30"/>
  <c r="FC12" i="30"/>
  <c r="FC13" i="30"/>
  <c r="FC14" i="30"/>
  <c r="FC15" i="30"/>
  <c r="FC17" i="30"/>
  <c r="FC18" i="30"/>
  <c r="FC19" i="30"/>
  <c r="FC20" i="30"/>
  <c r="FC22" i="30"/>
  <c r="FC23" i="30"/>
  <c r="FC24" i="30"/>
  <c r="FC25" i="30"/>
  <c r="FC27" i="30"/>
  <c r="FC28" i="30"/>
  <c r="FC29" i="30"/>
  <c r="FD61" i="30"/>
  <c r="FD64" i="30"/>
  <c r="DT51" i="30"/>
  <c r="FD20" i="30"/>
  <c r="FD12" i="30"/>
  <c r="FF20" i="30"/>
  <c r="FC40" i="30"/>
  <c r="ET46" i="30"/>
  <c r="DU46" i="30"/>
  <c r="FE65" i="30"/>
  <c r="EA29" i="30"/>
  <c r="DR36" i="30"/>
  <c r="FC65" i="30"/>
  <c r="FC60" i="30"/>
  <c r="FC57" i="30"/>
  <c r="FC53" i="30"/>
  <c r="FC48" i="30"/>
  <c r="FD47" i="30"/>
  <c r="FA43" i="30"/>
  <c r="FD22" i="30"/>
  <c r="DT36" i="30"/>
  <c r="FC30" i="30"/>
  <c r="FC32" i="30"/>
  <c r="FC33" i="30"/>
  <c r="FD42" i="30"/>
  <c r="FD39" i="30"/>
  <c r="FD45" i="30"/>
  <c r="FD48" i="30"/>
  <c r="FD35" i="30"/>
  <c r="EW56" i="30"/>
  <c r="EW11" i="30"/>
  <c r="EU51" i="30"/>
  <c r="FB23" i="30"/>
  <c r="FE44" i="30"/>
  <c r="FF37" i="30"/>
  <c r="FF33" i="30"/>
  <c r="FB44" i="30"/>
  <c r="FB50" i="30"/>
  <c r="FB57" i="30"/>
  <c r="FB59" i="30"/>
  <c r="EW31" i="30"/>
  <c r="EU26" i="30"/>
  <c r="FD54" i="30"/>
  <c r="DS46" i="30"/>
  <c r="FD52" i="30"/>
  <c r="FD53" i="30"/>
  <c r="FD55" i="30"/>
  <c r="FD58" i="30"/>
  <c r="FD17" i="30"/>
  <c r="FC62" i="30"/>
  <c r="FC50" i="30"/>
  <c r="FD57" i="30"/>
  <c r="FD14" i="30"/>
  <c r="FD10" i="30"/>
  <c r="EU36" i="30"/>
  <c r="FD37" i="30"/>
  <c r="FD27" i="30"/>
  <c r="FD23" i="30"/>
  <c r="FD65" i="30"/>
  <c r="FD15" i="30"/>
  <c r="EB29" i="30"/>
  <c r="FD7" i="30"/>
  <c r="FD38" i="30"/>
  <c r="FD30" i="30"/>
  <c r="FD59" i="30"/>
  <c r="FD63" i="30"/>
  <c r="EB35" i="30"/>
  <c r="EU11" i="30"/>
  <c r="ES51" i="30"/>
  <c r="FF9" i="30"/>
  <c r="FF19" i="30"/>
  <c r="FF34" i="30"/>
  <c r="FF47" i="30"/>
  <c r="EW46" i="30"/>
  <c r="FF55" i="30"/>
  <c r="ES26" i="30"/>
  <c r="FE38" i="30"/>
  <c r="FE47" i="30"/>
  <c r="FE59" i="30"/>
  <c r="ES16" i="30"/>
  <c r="EV56" i="30"/>
  <c r="ET16" i="30"/>
  <c r="DU51" i="30"/>
  <c r="EW36" i="30"/>
  <c r="EW51" i="30"/>
  <c r="DS51" i="30"/>
  <c r="FB18" i="30"/>
  <c r="FB38" i="30"/>
  <c r="FC7" i="30"/>
  <c r="EW16" i="30"/>
  <c r="FB42" i="30"/>
  <c r="FB48" i="30"/>
  <c r="FB55" i="30"/>
  <c r="FB58" i="30"/>
  <c r="FF7" i="30"/>
  <c r="ET31" i="30"/>
  <c r="FC52" i="30"/>
  <c r="ER46" i="30"/>
  <c r="FA7" i="30"/>
  <c r="FA14" i="30"/>
  <c r="FA24" i="30"/>
  <c r="FA28" i="30"/>
  <c r="FA33" i="30"/>
  <c r="FA54" i="30"/>
  <c r="FA63" i="30"/>
  <c r="FA13" i="30"/>
  <c r="FA20" i="30"/>
  <c r="FA29" i="30"/>
  <c r="FA45" i="30"/>
  <c r="FA12" i="30"/>
  <c r="FA40" i="30"/>
  <c r="FA10" i="30"/>
  <c r="FA30" i="30"/>
  <c r="FA47" i="30"/>
  <c r="FA65" i="30"/>
  <c r="FA59" i="30"/>
  <c r="DQ56" i="30"/>
  <c r="DP36" i="30"/>
  <c r="DZ35" i="30"/>
  <c r="FA52" i="30"/>
  <c r="FA25" i="30"/>
  <c r="FB14" i="30"/>
  <c r="FB17" i="30"/>
  <c r="FB30" i="30"/>
  <c r="FA55" i="30"/>
  <c r="ES46" i="30"/>
  <c r="FB10" i="30"/>
  <c r="FD8" i="30"/>
  <c r="DQ51" i="30"/>
  <c r="FF27" i="30"/>
  <c r="FF64" i="30"/>
  <c r="FF25" i="30"/>
  <c r="FF50" i="30"/>
  <c r="FA18" i="30"/>
  <c r="FA50" i="30"/>
  <c r="FA15" i="30"/>
  <c r="FA42" i="30"/>
  <c r="DQ46" i="30"/>
  <c r="DY35" i="30"/>
  <c r="FB12" i="30"/>
  <c r="FB28" i="30"/>
  <c r="FE55" i="30"/>
  <c r="FF24" i="30"/>
  <c r="FF18" i="30"/>
  <c r="FB43" i="30"/>
  <c r="FB49" i="30"/>
  <c r="FB54" i="30"/>
  <c r="FB65" i="30"/>
  <c r="FD9" i="30"/>
  <c r="FE42" i="30"/>
  <c r="FC55" i="30"/>
  <c r="FD18" i="30"/>
  <c r="FB64" i="30"/>
  <c r="DY29" i="30"/>
  <c r="ES31" i="30"/>
  <c r="FA8" i="30"/>
  <c r="EX16" i="30"/>
  <c r="EX26" i="30"/>
  <c r="DV51" i="30"/>
  <c r="FG40" i="30"/>
  <c r="FG54" i="30"/>
  <c r="FG55" i="30"/>
  <c r="FG57" i="30"/>
  <c r="FG58" i="30"/>
  <c r="FG59" i="30"/>
  <c r="FG60" i="30"/>
  <c r="FG61" i="30"/>
  <c r="FG62" i="30"/>
  <c r="FG63" i="30"/>
  <c r="FG64" i="30"/>
  <c r="FG65" i="30"/>
  <c r="DV56" i="30"/>
  <c r="EX36" i="30"/>
  <c r="EE29" i="30"/>
  <c r="EX11" i="30"/>
  <c r="FG9" i="30"/>
  <c r="FG15" i="30"/>
  <c r="FG27" i="30"/>
  <c r="FG35" i="30"/>
  <c r="EV16" i="30"/>
  <c r="FE9" i="30"/>
  <c r="FE15" i="30"/>
  <c r="FE23" i="30"/>
  <c r="DT31" i="30"/>
  <c r="FF43" i="30"/>
  <c r="FE13" i="30"/>
  <c r="FE64" i="30"/>
  <c r="EV31" i="30"/>
  <c r="EX56" i="30"/>
  <c r="EX31" i="30"/>
  <c r="DV46" i="30"/>
  <c r="EX51" i="30"/>
  <c r="FG22" i="30"/>
  <c r="FE22" i="30"/>
  <c r="FE57" i="30"/>
  <c r="FE50" i="30"/>
  <c r="FE30" i="30"/>
  <c r="DP51" i="30"/>
  <c r="FF54" i="30"/>
  <c r="FF62" i="30"/>
  <c r="FE48" i="30"/>
  <c r="FE63" i="30"/>
  <c r="EU16" i="30"/>
  <c r="FE61" i="30"/>
  <c r="EV26" i="30"/>
  <c r="FE10" i="30"/>
  <c r="FE17" i="30"/>
  <c r="FE29" i="30"/>
  <c r="FF42" i="30"/>
  <c r="FE43" i="30"/>
  <c r="EV51" i="30"/>
  <c r="FE19" i="30"/>
  <c r="FF28" i="30"/>
  <c r="DV36" i="30"/>
  <c r="FE27" i="30"/>
  <c r="DT46" i="30"/>
  <c r="EV11" i="30"/>
  <c r="FE14" i="30"/>
  <c r="FE32" i="30"/>
  <c r="ED35" i="30"/>
  <c r="FE60" i="30"/>
  <c r="FF63" i="30"/>
  <c r="FE12" i="30"/>
  <c r="FE24" i="30"/>
  <c r="FF13" i="30"/>
  <c r="FE39" i="30"/>
  <c r="FE37" i="30"/>
  <c r="FF57" i="30"/>
  <c r="FF58" i="30"/>
  <c r="FF14" i="30"/>
  <c r="FD60" i="30"/>
  <c r="FC39" i="30"/>
  <c r="FD40" i="30"/>
  <c r="FE49" i="30"/>
  <c r="FF17" i="30"/>
  <c r="EC29" i="30"/>
  <c r="DS36" i="30"/>
  <c r="EU56" i="30"/>
  <c r="ER51" i="30"/>
  <c r="FC34" i="30"/>
  <c r="FE40" i="30"/>
  <c r="DT56" i="30"/>
  <c r="FE58" i="30"/>
  <c r="ET51" i="30"/>
  <c r="FF22" i="30"/>
  <c r="FE7" i="30"/>
  <c r="FF53" i="30"/>
  <c r="FF23" i="30"/>
  <c r="FE8" i="30"/>
  <c r="FE20" i="30"/>
  <c r="EV36" i="30"/>
  <c r="DU31" i="30"/>
  <c r="FE45" i="30"/>
  <c r="ER16" i="30"/>
  <c r="DR51" i="30"/>
  <c r="EW26" i="30"/>
  <c r="FB35" i="30"/>
  <c r="FF59" i="30"/>
  <c r="FB20" i="30"/>
  <c r="FC43" i="30"/>
  <c r="FB13" i="30"/>
  <c r="FC45" i="30"/>
  <c r="DS56" i="30"/>
  <c r="FE34" i="30"/>
  <c r="FF40" i="30"/>
  <c r="FD19" i="30"/>
  <c r="FE33" i="30"/>
  <c r="FF29" i="30"/>
  <c r="EV46" i="30"/>
  <c r="FE18" i="30"/>
  <c r="FE35" i="30"/>
  <c r="FE54" i="30"/>
  <c r="FE62" i="30"/>
  <c r="EU46" i="30"/>
  <c r="FF35" i="30"/>
  <c r="ET26" i="30"/>
  <c r="FE25" i="30"/>
  <c r="FG42" i="30"/>
  <c r="FG47" i="30"/>
  <c r="FG45" i="30"/>
  <c r="FG43" i="30"/>
  <c r="FG38" i="30"/>
  <c r="FG17" i="30"/>
  <c r="FG25" i="30"/>
  <c r="FG7" i="30"/>
  <c r="FG23" i="30"/>
  <c r="FG39" i="30"/>
  <c r="FG24" i="30"/>
  <c r="FG48" i="30"/>
  <c r="FG34" i="30"/>
  <c r="FG53" i="30"/>
  <c r="FG19" i="30"/>
  <c r="FG12" i="30"/>
  <c r="FG50" i="30"/>
  <c r="FG14" i="30"/>
  <c r="FG32" i="30"/>
  <c r="FG52" i="30"/>
  <c r="EE35" i="30"/>
  <c r="DV31" i="30"/>
  <c r="FG8" i="30"/>
  <c r="FG37" i="30"/>
  <c r="FG28" i="30"/>
  <c r="FG29" i="30"/>
  <c r="FG44" i="30"/>
  <c r="FG49" i="30"/>
  <c r="FG30" i="30"/>
  <c r="FG10" i="30"/>
  <c r="FG20" i="30"/>
  <c r="FG13" i="30"/>
  <c r="FG18" i="30"/>
  <c r="FG33" i="30"/>
  <c r="EX46" i="30"/>
  <c r="DZ56" i="30"/>
  <c r="DY56" i="30"/>
  <c r="EB57" i="30"/>
  <c r="EA56" i="30"/>
  <c r="DY57" i="30"/>
  <c r="ED56" i="30"/>
  <c r="ED57" i="30"/>
  <c r="EA57" i="30"/>
  <c r="EE57" i="30"/>
  <c r="DZ57" i="30"/>
  <c r="EC57" i="30"/>
  <c r="EC56" i="30"/>
  <c r="EB56" i="30"/>
  <c r="EE56" i="30"/>
  <c r="EW29" i="30"/>
  <c r="ES29" i="30"/>
  <c r="ET29" i="30"/>
  <c r="EB31" i="30"/>
  <c r="EA31" i="30"/>
  <c r="DZ31" i="30"/>
  <c r="DY31" i="30"/>
  <c r="EX29" i="30"/>
  <c r="EV29" i="30"/>
  <c r="EU29" i="30"/>
  <c r="ER29" i="30"/>
  <c r="DZ33" i="30"/>
  <c r="EA34" i="30"/>
  <c r="ED33" i="30"/>
  <c r="EB33" i="30"/>
  <c r="EC31" i="30"/>
  <c r="DU29" i="30"/>
  <c r="DY33" i="30"/>
  <c r="EA33" i="30"/>
  <c r="ED30" i="30"/>
  <c r="EA30" i="30"/>
  <c r="DP29" i="30"/>
  <c r="DZ34" i="30"/>
  <c r="DY34" i="30"/>
  <c r="ED34" i="30"/>
  <c r="EE34" i="30"/>
  <c r="EE32" i="30"/>
  <c r="EC32" i="30"/>
  <c r="DY32" i="30"/>
  <c r="ED31" i="30"/>
  <c r="DV29" i="30"/>
  <c r="EC33" i="30"/>
  <c r="EE31" i="30"/>
  <c r="EC30" i="30"/>
  <c r="DY30" i="30"/>
  <c r="DR29" i="30"/>
  <c r="EC34" i="30"/>
  <c r="EB32" i="30"/>
  <c r="EA32" i="30"/>
  <c r="DS29" i="30"/>
  <c r="EE33" i="30"/>
  <c r="EE30" i="30"/>
  <c r="EB30" i="30"/>
  <c r="DT29" i="30"/>
  <c r="EB34" i="30"/>
  <c r="ED32" i="30"/>
  <c r="DZ32" i="30"/>
  <c r="DZ30" i="30"/>
  <c r="DQ29" i="30"/>
  <c r="ET35" i="30"/>
  <c r="EX35" i="30"/>
  <c r="EW35" i="30"/>
  <c r="EV35" i="30"/>
  <c r="EU35" i="30"/>
  <c r="ES35" i="30"/>
  <c r="ER35" i="30"/>
  <c r="DP35" i="30"/>
  <c r="EB36" i="30"/>
  <c r="DY36" i="30"/>
  <c r="DT35" i="30"/>
  <c r="EA36" i="30"/>
  <c r="DV35" i="30"/>
  <c r="DU35" i="30"/>
  <c r="DS35" i="30"/>
  <c r="DQ35" i="30"/>
  <c r="EC40" i="30"/>
  <c r="EA40" i="30"/>
  <c r="DY40" i="30"/>
  <c r="ED36" i="30"/>
  <c r="EC36" i="30"/>
  <c r="DZ36" i="30"/>
  <c r="DR35" i="30"/>
  <c r="EA37" i="30"/>
  <c r="DZ37" i="30"/>
  <c r="DY37" i="30"/>
  <c r="EE36" i="30"/>
  <c r="ED40" i="30"/>
  <c r="EB40" i="30"/>
  <c r="EE39" i="30"/>
  <c r="EA39" i="30"/>
  <c r="ED37" i="30"/>
  <c r="EE38" i="30"/>
  <c r="EB38" i="30"/>
  <c r="DZ40" i="30"/>
  <c r="EC38" i="30"/>
  <c r="DZ38" i="30"/>
  <c r="EC39" i="30"/>
  <c r="DY39" i="30"/>
  <c r="EB37" i="30"/>
  <c r="ED38" i="30"/>
  <c r="DZ39" i="30"/>
  <c r="EE37" i="30"/>
  <c r="EC37" i="30"/>
  <c r="EA38" i="30"/>
  <c r="DY38" i="30"/>
  <c r="ED39" i="30"/>
  <c r="EB39" i="30"/>
  <c r="EE40" i="30"/>
  <c r="EE44" i="30"/>
  <c r="EA43" i="30"/>
  <c r="DZ46" i="30"/>
  <c r="EA45" i="30"/>
  <c r="DZ43" i="30"/>
  <c r="DY46" i="30"/>
  <c r="EB45" i="30"/>
  <c r="ED46" i="30"/>
  <c r="EA46" i="30"/>
  <c r="ED44" i="30"/>
  <c r="EA44" i="30"/>
  <c r="EC43" i="30"/>
  <c r="EB46" i="30"/>
  <c r="ED45" i="30"/>
  <c r="ED43" i="30"/>
  <c r="EE46" i="30"/>
  <c r="EC45" i="30"/>
  <c r="EC44" i="30"/>
  <c r="EB44" i="30"/>
  <c r="DZ44" i="30"/>
  <c r="EE43" i="30"/>
  <c r="DY43" i="30"/>
  <c r="EE45" i="30"/>
  <c r="DY45" i="30"/>
  <c r="EB43" i="30"/>
  <c r="EC46" i="30"/>
  <c r="DZ45" i="30"/>
  <c r="EW41" i="30"/>
  <c r="EU41" i="30"/>
  <c r="ER41" i="30"/>
  <c r="DU41" i="30"/>
  <c r="DS41" i="30"/>
  <c r="DQ41" i="30"/>
  <c r="EA42" i="30"/>
  <c r="DY42" i="30"/>
  <c r="ET41" i="30"/>
  <c r="ES41" i="30"/>
  <c r="DV41" i="30"/>
  <c r="DT41" i="30"/>
  <c r="DR41" i="30"/>
  <c r="DP41" i="30"/>
  <c r="ED42" i="30"/>
  <c r="EB42" i="30"/>
  <c r="DZ42" i="30"/>
  <c r="EE42" i="30"/>
  <c r="EC42" i="30"/>
  <c r="EV41" i="30"/>
  <c r="DY44" i="30"/>
  <c r="EX41" i="30"/>
  <c r="EV17" i="30"/>
  <c r="DU17" i="30"/>
  <c r="ER10" i="30"/>
  <c r="ER13" i="30"/>
  <c r="DV47" i="30"/>
  <c r="EX25" i="30"/>
  <c r="DV25" i="30"/>
  <c r="EV10" i="30"/>
  <c r="EW25" i="30"/>
  <c r="DU47" i="30"/>
  <c r="EX13" i="30"/>
  <c r="EU17" i="30"/>
  <c r="DV13" i="30"/>
  <c r="DT13" i="30"/>
  <c r="DQ25" i="30"/>
  <c r="ET10" i="30"/>
  <c r="ER47" i="30"/>
  <c r="EX47" i="30"/>
  <c r="DP17" i="30"/>
  <c r="DU25" i="30"/>
  <c r="EW17" i="30"/>
  <c r="EU25" i="30"/>
  <c r="DQ17" i="30"/>
  <c r="DR25" i="30"/>
  <c r="DS17" i="30"/>
  <c r="EW10" i="30"/>
  <c r="ET13" i="30"/>
  <c r="DS25" i="30"/>
  <c r="EV47" i="30"/>
  <c r="EW13" i="30"/>
  <c r="DU13" i="30"/>
  <c r="DP25" i="30"/>
  <c r="EV25" i="30"/>
  <c r="EX10" i="30"/>
  <c r="ET17" i="30"/>
  <c r="EX17" i="30"/>
  <c r="ES25" i="30"/>
  <c r="DQ13" i="30"/>
  <c r="DV17" i="30"/>
  <c r="DT25" i="30"/>
  <c r="DS47" i="30"/>
  <c r="ET25" i="30"/>
  <c r="ET47" i="30"/>
  <c r="ES10" i="30"/>
  <c r="EV13" i="30"/>
  <c r="DT17" i="30"/>
  <c r="EU13" i="30"/>
  <c r="EU47" i="30"/>
  <c r="DP47" i="30"/>
  <c r="DQ47" i="30"/>
  <c r="DR17" i="30"/>
  <c r="DS13" i="30"/>
  <c r="ES47" i="30"/>
  <c r="DT47" i="30"/>
  <c r="DR47" i="30"/>
  <c r="ER17" i="30"/>
  <c r="EU10" i="30"/>
  <c r="DR13" i="30"/>
  <c r="ER25" i="30"/>
  <c r="ES13" i="30"/>
  <c r="ES17" i="30"/>
  <c r="DP13" i="30"/>
  <c r="EW47" i="30"/>
  <c r="EX49" i="30"/>
  <c r="ER49" i="30"/>
  <c r="EV9" i="30"/>
  <c r="EW24" i="30"/>
  <c r="ES49" i="30"/>
  <c r="ES12" i="30"/>
  <c r="EU6" i="30"/>
  <c r="EX53" i="30"/>
  <c r="EU49" i="30"/>
  <c r="EU18" i="30"/>
  <c r="ET49" i="30"/>
  <c r="EX24" i="30"/>
  <c r="ES53" i="30"/>
  <c r="EV24" i="30"/>
  <c r="EU21" i="30"/>
  <c r="ET9" i="30"/>
  <c r="EX12" i="30"/>
  <c r="EV21" i="30"/>
  <c r="ER24" i="30"/>
  <c r="EV6" i="30"/>
  <c r="EW12" i="30"/>
  <c r="EV27" i="30"/>
  <c r="EX9" i="30"/>
  <c r="EV49" i="30"/>
  <c r="ES27" i="30"/>
  <c r="EU53" i="30"/>
  <c r="ET24" i="30"/>
  <c r="EV15" i="30"/>
  <c r="EX6" i="30"/>
  <c r="ET21" i="30"/>
  <c r="EX27" i="30"/>
  <c r="ER9" i="30"/>
  <c r="EU15" i="30"/>
  <c r="EW49" i="30"/>
  <c r="EV53" i="30"/>
  <c r="EW9" i="30"/>
  <c r="ES24" i="30"/>
  <c r="ER18" i="30"/>
  <c r="ER6" i="30"/>
  <c r="EU27" i="30"/>
  <c r="ER21" i="30"/>
  <c r="ES9" i="30"/>
  <c r="EU9" i="30"/>
  <c r="EW6" i="30"/>
  <c r="ES21" i="30"/>
  <c r="EV12" i="30"/>
  <c r="EX15" i="30"/>
  <c r="ET18" i="30"/>
  <c r="ER15" i="30"/>
  <c r="EW18" i="30"/>
  <c r="ES15" i="30"/>
  <c r="EW15" i="30"/>
  <c r="ET27" i="30"/>
  <c r="ET53" i="30"/>
  <c r="EW21" i="30"/>
  <c r="ET6" i="30"/>
  <c r="EV18" i="30"/>
  <c r="ER27" i="30"/>
  <c r="EX21" i="30"/>
  <c r="EW53" i="30"/>
  <c r="EU24" i="30"/>
  <c r="ET15" i="30"/>
  <c r="EU12" i="30"/>
  <c r="ER53" i="30"/>
  <c r="ES18" i="30"/>
  <c r="ER12" i="30"/>
  <c r="EW27" i="30"/>
  <c r="ET12" i="30"/>
  <c r="ES6" i="30"/>
  <c r="EX18" i="30"/>
  <c r="DV24" i="30"/>
  <c r="DS9" i="30"/>
  <c r="DT24" i="30"/>
  <c r="DP9" i="30"/>
  <c r="DT12" i="30"/>
  <c r="DR18" i="30"/>
  <c r="DP12" i="30"/>
  <c r="DS24" i="30"/>
  <c r="DU18" i="30"/>
  <c r="DQ9" i="30"/>
  <c r="DU12" i="30"/>
  <c r="DP24" i="30"/>
  <c r="DR24" i="30"/>
  <c r="DQ24" i="30"/>
  <c r="DV18" i="30"/>
  <c r="DP18" i="30"/>
  <c r="DS12" i="30"/>
  <c r="DT9" i="30"/>
  <c r="DR9" i="30"/>
  <c r="DQ12" i="30"/>
  <c r="DQ18" i="30"/>
  <c r="DV9" i="30"/>
  <c r="DU24" i="30"/>
  <c r="DU9" i="30"/>
  <c r="DV12" i="30"/>
  <c r="DT18" i="30"/>
  <c r="DS18" i="30"/>
  <c r="DR12" i="30"/>
  <c r="DU15" i="30"/>
  <c r="DT53" i="30"/>
  <c r="DR15" i="30"/>
  <c r="DV15" i="30"/>
  <c r="DV27" i="30"/>
  <c r="DV7" i="30"/>
  <c r="DT27" i="30"/>
  <c r="DT15" i="30"/>
  <c r="DU27" i="30"/>
  <c r="DP15" i="30"/>
  <c r="DU7" i="30"/>
  <c r="DU53" i="30"/>
  <c r="DP7" i="30"/>
  <c r="DT7" i="30"/>
  <c r="DQ7" i="30"/>
  <c r="DS53" i="30"/>
  <c r="DQ53" i="30"/>
  <c r="DR27" i="30"/>
  <c r="DY10" i="30"/>
  <c r="DV53" i="30"/>
  <c r="DP27" i="30"/>
  <c r="DS27" i="30"/>
  <c r="DQ27" i="30"/>
  <c r="DR7" i="30"/>
  <c r="DR53" i="30"/>
  <c r="DS15" i="30"/>
  <c r="DS7" i="30"/>
  <c r="DQ15" i="30"/>
  <c r="DP53" i="30"/>
  <c r="EC54" i="30"/>
  <c r="EE49" i="30"/>
  <c r="ED61" i="30"/>
  <c r="DZ54" i="30"/>
  <c r="ED54" i="30"/>
  <c r="DZ61" i="30"/>
  <c r="DY54" i="30"/>
  <c r="EE54" i="30"/>
  <c r="EB61" i="30"/>
  <c r="DY49" i="30"/>
  <c r="EC61" i="30"/>
  <c r="EE61" i="30"/>
  <c r="EA61" i="30"/>
  <c r="EC49" i="30"/>
  <c r="EA49" i="30"/>
  <c r="EA54" i="30"/>
  <c r="DY61" i="30"/>
  <c r="EB54" i="30"/>
  <c r="ED49" i="30"/>
  <c r="DZ49" i="30"/>
  <c r="EB49" i="30"/>
  <c r="DV10" i="30"/>
  <c r="DQ23" i="30"/>
  <c r="ED21" i="30"/>
  <c r="DP14" i="30"/>
  <c r="DV28" i="30"/>
  <c r="DU19" i="30"/>
  <c r="DS10" i="30"/>
  <c r="DS23" i="30"/>
  <c r="DP23" i="30"/>
  <c r="DU14" i="30"/>
  <c r="DU28" i="30"/>
  <c r="DZ26" i="30"/>
  <c r="DP19" i="30"/>
  <c r="DR23" i="30"/>
  <c r="DT23" i="30"/>
  <c r="DR19" i="30"/>
  <c r="DZ11" i="30"/>
  <c r="DY12" i="30"/>
  <c r="ED16" i="30"/>
  <c r="DT28" i="30"/>
  <c r="DQ14" i="30"/>
  <c r="DT19" i="30"/>
  <c r="EA16" i="30"/>
  <c r="DV19" i="30"/>
  <c r="DU10" i="30"/>
  <c r="EC26" i="30"/>
  <c r="EB26" i="30"/>
  <c r="EE21" i="30"/>
  <c r="DV14" i="30"/>
  <c r="DY21" i="30"/>
  <c r="DY11" i="30"/>
  <c r="DV23" i="30"/>
  <c r="EA11" i="30"/>
  <c r="EE26" i="30"/>
  <c r="EC21" i="30"/>
  <c r="DT10" i="30"/>
  <c r="DP10" i="30"/>
  <c r="DY7" i="30"/>
  <c r="DT14" i="30"/>
  <c r="DQ19" i="30"/>
  <c r="DU23" i="30"/>
  <c r="EC11" i="30"/>
  <c r="DQ10" i="30"/>
  <c r="EC16" i="30"/>
  <c r="EB11" i="30"/>
  <c r="DZ16" i="30"/>
  <c r="DY8" i="30"/>
  <c r="DS14" i="30"/>
  <c r="DY13" i="30"/>
  <c r="DS19" i="30"/>
  <c r="DR14" i="30"/>
  <c r="DZ21" i="30"/>
  <c r="EB21" i="30"/>
  <c r="EA21" i="30"/>
  <c r="EE16" i="30"/>
  <c r="EE11" i="30"/>
  <c r="ED11" i="30"/>
  <c r="EA26" i="30"/>
  <c r="ED26" i="30"/>
  <c r="DQ28" i="30"/>
  <c r="DY26" i="30"/>
  <c r="DR28" i="30"/>
  <c r="DP28" i="30"/>
  <c r="DR10" i="30"/>
  <c r="DY16" i="30"/>
  <c r="EB16" i="30"/>
  <c r="DY9" i="30"/>
  <c r="DS28" i="30"/>
  <c r="EA51" i="30"/>
  <c r="EE20" i="30"/>
  <c r="DQ6" i="30"/>
  <c r="EE17" i="30"/>
  <c r="EC23" i="30"/>
  <c r="DP16" i="30"/>
  <c r="EB17" i="30"/>
  <c r="EE62" i="30"/>
  <c r="DZ51" i="30"/>
  <c r="EE63" i="30"/>
  <c r="EC15" i="30"/>
  <c r="DS49" i="30"/>
  <c r="DV54" i="30"/>
  <c r="DR26" i="30"/>
  <c r="DT54" i="30"/>
  <c r="DQ11" i="30"/>
  <c r="EB48" i="30"/>
  <c r="EB18" i="30"/>
  <c r="DU16" i="30"/>
  <c r="EC65" i="30"/>
  <c r="EA65" i="30"/>
  <c r="ED14" i="30"/>
  <c r="DQ26" i="30"/>
  <c r="EB8" i="30"/>
  <c r="EE12" i="30"/>
  <c r="EB27" i="30"/>
  <c r="EA62" i="30"/>
  <c r="DP6" i="30"/>
  <c r="DT49" i="30"/>
  <c r="EB52" i="30"/>
  <c r="DY20" i="30"/>
  <c r="DP26" i="30"/>
  <c r="DY19" i="30"/>
  <c r="EE60" i="30"/>
  <c r="DY53" i="30"/>
  <c r="EB47" i="30"/>
  <c r="ED22" i="30"/>
  <c r="DY64" i="30"/>
  <c r="DZ47" i="30"/>
  <c r="EB19" i="30"/>
  <c r="DZ24" i="30"/>
  <c r="DQ49" i="30"/>
  <c r="EE14" i="30"/>
  <c r="DZ58" i="30"/>
  <c r="DP49" i="30"/>
  <c r="DY48" i="30"/>
  <c r="DZ50" i="30"/>
  <c r="ED58" i="30"/>
  <c r="DY51" i="30"/>
  <c r="EC48" i="30"/>
  <c r="EE52" i="30"/>
  <c r="DZ65" i="30"/>
  <c r="EB55" i="30"/>
  <c r="DY24" i="30"/>
  <c r="DU11" i="30"/>
  <c r="EA63" i="30"/>
  <c r="DZ53" i="30"/>
  <c r="DQ54" i="30"/>
  <c r="DZ10" i="30"/>
  <c r="DU21" i="30"/>
  <c r="ED18" i="30"/>
  <c r="EE58" i="30"/>
  <c r="DR6" i="30"/>
  <c r="ED10" i="30"/>
  <c r="EE19" i="30"/>
  <c r="EC8" i="30"/>
  <c r="EC52" i="30"/>
  <c r="EE28" i="30"/>
  <c r="DZ17" i="30"/>
  <c r="DS16" i="30"/>
  <c r="EE22" i="30"/>
  <c r="EC10" i="30"/>
  <c r="EE9" i="30"/>
  <c r="EC47" i="30"/>
  <c r="EC19" i="30"/>
  <c r="ED59" i="30"/>
  <c r="DQ21" i="30"/>
  <c r="DY62" i="30"/>
  <c r="EA8" i="30"/>
  <c r="EC22" i="30"/>
  <c r="DY60" i="30"/>
  <c r="DZ52" i="30"/>
  <c r="EA22" i="30"/>
  <c r="EB23" i="30"/>
  <c r="ED65" i="30"/>
  <c r="EC50" i="30"/>
  <c r="EB24" i="30"/>
  <c r="ED20" i="30"/>
  <c r="ED62" i="30"/>
  <c r="EC28" i="30"/>
  <c r="DY28" i="30"/>
  <c r="ED52" i="30"/>
  <c r="EA14" i="30"/>
  <c r="DY17" i="30"/>
  <c r="DZ8" i="30"/>
  <c r="DQ16" i="30"/>
  <c r="EA10" i="30"/>
  <c r="EC14" i="30"/>
  <c r="DS11" i="30"/>
  <c r="DZ19" i="30"/>
  <c r="EC24" i="30"/>
  <c r="EB13" i="30"/>
  <c r="DT6" i="30"/>
  <c r="EA13" i="30"/>
  <c r="EA53" i="30"/>
  <c r="EB22" i="30"/>
  <c r="EE27" i="30"/>
  <c r="DZ28" i="30"/>
  <c r="DZ12" i="30"/>
  <c r="DZ15" i="30"/>
  <c r="DV21" i="30"/>
  <c r="DU6" i="30"/>
  <c r="DY55" i="30"/>
  <c r="EE59" i="30"/>
  <c r="DZ64" i="30"/>
  <c r="EC9" i="30"/>
  <c r="DP61" i="30"/>
  <c r="ED48" i="30"/>
  <c r="EC27" i="30"/>
  <c r="EC7" i="30"/>
  <c r="EE24" i="30"/>
  <c r="DP54" i="30"/>
  <c r="EE8" i="30"/>
  <c r="ED13" i="30"/>
  <c r="EB64" i="30"/>
  <c r="EC51" i="30"/>
  <c r="EA18" i="30"/>
  <c r="EA59" i="30"/>
  <c r="EB65" i="30"/>
  <c r="EA50" i="30"/>
  <c r="DT16" i="30"/>
  <c r="DZ63" i="30"/>
  <c r="EB14" i="30"/>
  <c r="EE53" i="30"/>
  <c r="EC60" i="30"/>
  <c r="DU49" i="30"/>
  <c r="EB7" i="30"/>
  <c r="DY63" i="30"/>
  <c r="DV49" i="30"/>
  <c r="DY27" i="30"/>
  <c r="DT11" i="30"/>
  <c r="EB20" i="30"/>
  <c r="DP11" i="30"/>
  <c r="DY58" i="30"/>
  <c r="EC62" i="30"/>
  <c r="DY47" i="30"/>
  <c r="EE51" i="30"/>
  <c r="ED55" i="30"/>
  <c r="EB59" i="30"/>
  <c r="ED24" i="30"/>
  <c r="EC63" i="30"/>
  <c r="DY50" i="30"/>
  <c r="DU54" i="30"/>
  <c r="EA64" i="30"/>
  <c r="DR21" i="30"/>
  <c r="DR11" i="30"/>
  <c r="EC18" i="30"/>
  <c r="EC59" i="30"/>
  <c r="EA52" i="30"/>
  <c r="EA17" i="30"/>
  <c r="EA28" i="30"/>
  <c r="EE55" i="30"/>
  <c r="EB51" i="30"/>
  <c r="EC17" i="30"/>
  <c r="DZ14" i="30"/>
  <c r="EB9" i="30"/>
  <c r="DP21" i="30"/>
  <c r="ED19" i="30"/>
  <c r="ED28" i="30"/>
  <c r="DT26" i="30"/>
  <c r="DV6" i="30"/>
  <c r="EC64" i="30"/>
  <c r="ED9" i="30"/>
  <c r="ED17" i="30"/>
  <c r="DR61" i="30"/>
  <c r="EE15" i="30"/>
  <c r="DS6" i="30"/>
  <c r="EE7" i="30"/>
  <c r="ED63" i="30"/>
  <c r="DZ55" i="30"/>
  <c r="EB63" i="30"/>
  <c r="ED51" i="30"/>
  <c r="DV26" i="30"/>
  <c r="EA58" i="30"/>
  <c r="DS61" i="30"/>
  <c r="DY18" i="30"/>
  <c r="DS26" i="30"/>
  <c r="ED47" i="30"/>
  <c r="EA24" i="30"/>
  <c r="DZ7" i="30"/>
  <c r="ED53" i="30"/>
  <c r="DY25" i="30"/>
  <c r="EC25" i="30"/>
  <c r="EC55" i="30"/>
  <c r="EB12" i="30"/>
  <c r="ED7" i="30"/>
  <c r="EA9" i="30"/>
  <c r="EA20" i="30"/>
  <c r="ED23" i="30"/>
  <c r="DZ20" i="30"/>
  <c r="DY15" i="30"/>
  <c r="DZ27" i="30"/>
  <c r="ED25" i="30"/>
  <c r="EB53" i="30"/>
  <c r="DY23" i="30"/>
  <c r="EB50" i="30"/>
  <c r="EA55" i="30"/>
  <c r="EE10" i="30"/>
  <c r="DR49" i="30"/>
  <c r="DZ23" i="30"/>
  <c r="ED64" i="30"/>
  <c r="EE25" i="30"/>
  <c r="DV16" i="30"/>
  <c r="EA12" i="30"/>
  <c r="EE18" i="30"/>
  <c r="EA47" i="30"/>
  <c r="DS21" i="30"/>
  <c r="EE13" i="30"/>
  <c r="ED15" i="30"/>
  <c r="EA23" i="30"/>
  <c r="EB25" i="30"/>
  <c r="DS54" i="30"/>
  <c r="ED50" i="30"/>
  <c r="DY14" i="30"/>
  <c r="EE48" i="30"/>
  <c r="EE65" i="30"/>
  <c r="EA60" i="30"/>
  <c r="DQ61" i="30"/>
  <c r="DZ48" i="30"/>
  <c r="EC53" i="30"/>
  <c r="DZ62" i="30"/>
  <c r="EC12" i="30"/>
  <c r="DZ22" i="30"/>
  <c r="DY65" i="30"/>
  <c r="DY22" i="30"/>
  <c r="EC20" i="30"/>
  <c r="DU61" i="30"/>
  <c r="EA27" i="30"/>
  <c r="EA25" i="30"/>
  <c r="EA15" i="30"/>
  <c r="DZ18" i="30"/>
  <c r="ED27" i="30"/>
  <c r="EB60" i="30"/>
  <c r="EB10" i="30"/>
  <c r="DT61" i="30"/>
  <c r="DZ13" i="30"/>
  <c r="EA19" i="30"/>
  <c r="DV61" i="30"/>
  <c r="EE47" i="30"/>
  <c r="DY52" i="30"/>
  <c r="DZ59" i="30"/>
  <c r="DT21" i="30"/>
  <c r="EE50" i="30"/>
  <c r="EA7" i="30"/>
  <c r="DR54" i="30"/>
  <c r="EB58" i="30"/>
  <c r="ED60" i="30"/>
  <c r="ED12" i="30"/>
  <c r="EC13" i="30"/>
  <c r="EE64" i="30"/>
  <c r="DR16" i="30"/>
  <c r="EB62" i="30"/>
  <c r="DV11" i="30"/>
  <c r="ED8" i="30"/>
  <c r="DY59" i="30"/>
  <c r="DZ60" i="30"/>
  <c r="DU26" i="30"/>
  <c r="EE23" i="30"/>
  <c r="EC58" i="30"/>
  <c r="DZ25" i="30"/>
  <c r="EB15" i="30"/>
  <c r="EA48" i="30"/>
  <c r="DZ9" i="30"/>
  <c r="EB28" i="30"/>
  <c r="FD72" i="30" l="1"/>
  <c r="FD73" i="30" s="1"/>
  <c r="EV72" i="30"/>
  <c r="EU72" i="30"/>
  <c r="FB72" i="30"/>
  <c r="FB73" i="30" s="1"/>
  <c r="ET72" i="30"/>
  <c r="FA72" i="30"/>
  <c r="FA73" i="30" s="1"/>
  <c r="FG72" i="30"/>
  <c r="FG73" i="30" s="1"/>
  <c r="EW72" i="30"/>
  <c r="ER72" i="30"/>
  <c r="EX72" i="30"/>
  <c r="FF72" i="30"/>
  <c r="FF73" i="30" s="1"/>
  <c r="FE72" i="30"/>
  <c r="FE73" i="30" s="1"/>
  <c r="ES72" i="30"/>
  <c r="FC72" i="30"/>
  <c r="FC73" i="30" s="1"/>
  <c r="DP72" i="30"/>
  <c r="EH41" i="30" s="1" a="1"/>
  <c r="EE72" i="30"/>
  <c r="EE74" i="30" s="1"/>
  <c r="DY72" i="30"/>
  <c r="DY74" i="30" s="1"/>
  <c r="EC72" i="30"/>
  <c r="EC74" i="30" s="1"/>
  <c r="ED72" i="30"/>
  <c r="ED74" i="30" s="1"/>
  <c r="DZ72" i="30"/>
  <c r="DZ74" i="30" s="1"/>
  <c r="EA72" i="30"/>
  <c r="EA74" i="30" s="1"/>
  <c r="EB72" i="30"/>
  <c r="EB74" i="30" s="1"/>
  <c r="DQ72" i="30"/>
  <c r="EI41" i="30" s="1" a="1"/>
  <c r="DV72" i="30"/>
  <c r="EN41" i="30" s="1" a="1"/>
  <c r="DT72" i="30"/>
  <c r="EL41" i="30" s="1" a="1"/>
  <c r="DU72" i="30"/>
  <c r="EM41" i="30" s="1" a="1"/>
  <c r="DS72" i="30"/>
  <c r="EK41" i="30" s="1" a="1"/>
  <c r="DR72" i="30"/>
  <c r="EJ41" i="30" s="1" a="1"/>
  <c r="FP53" i="30" l="1" a="1"/>
  <c r="FP41" i="30" a="1"/>
  <c r="FO53" i="30" a="1"/>
  <c r="FO41" i="30" a="1"/>
  <c r="FL53" i="30" a="1"/>
  <c r="FL41" i="30" a="1"/>
  <c r="FK53" i="30" a="1"/>
  <c r="FK41" i="30" a="1"/>
  <c r="FJ53" i="30" a="1"/>
  <c r="FJ41" i="30" a="1"/>
  <c r="FM53" i="30" a="1"/>
  <c r="FM41" i="30" a="1"/>
  <c r="FN53" i="30" a="1"/>
  <c r="FN41" i="30" a="1"/>
  <c r="FN29" i="30" a="1"/>
  <c r="FN35" i="30" a="1"/>
  <c r="FM29" i="30" a="1"/>
  <c r="FM35" i="30" a="1"/>
  <c r="FL29" i="30" a="1"/>
  <c r="FL35" i="30" a="1"/>
  <c r="FO29" i="30" a="1"/>
  <c r="FO35" i="30" a="1"/>
  <c r="FJ29" i="30" a="1"/>
  <c r="FJ35" i="30" a="1"/>
  <c r="FP29" i="30" a="1"/>
  <c r="FP35" i="30" a="1"/>
  <c r="FK29" i="30" a="1"/>
  <c r="FK35" i="30" a="1"/>
  <c r="EH29" i="30" a="1"/>
  <c r="EH35" i="30" a="1"/>
  <c r="EI29" i="30" a="1"/>
  <c r="EI35" i="30" a="1"/>
  <c r="EN29" i="30" a="1"/>
  <c r="EN35" i="30" a="1"/>
  <c r="EL29" i="30" a="1"/>
  <c r="EL35" i="30" a="1"/>
  <c r="EM29" i="30" a="1"/>
  <c r="EM35" i="30" a="1"/>
  <c r="EK29" i="30" a="1"/>
  <c r="EK35" i="30" a="1"/>
  <c r="EJ29" i="30" a="1"/>
  <c r="EJ35" i="30" a="1"/>
  <c r="FN57" i="30" a="1"/>
  <c r="FN56" i="30" a="1"/>
  <c r="FM57" i="30" a="1"/>
  <c r="FM56" i="30" a="1"/>
  <c r="FL57" i="30" a="1"/>
  <c r="FL56" i="30" a="1"/>
  <c r="FO56" i="30" a="1"/>
  <c r="FO57" i="30" a="1"/>
  <c r="FJ56" i="30" a="1"/>
  <c r="FJ57" i="30" a="1"/>
  <c r="FP57" i="30" a="1"/>
  <c r="FP56" i="30" a="1"/>
  <c r="FK57" i="30" a="1"/>
  <c r="FK56" i="30" a="1"/>
  <c r="EH57" i="30" a="1"/>
  <c r="EH56" i="30" a="1"/>
  <c r="EI57" i="30" a="1"/>
  <c r="EI56" i="30" a="1"/>
  <c r="EN56" i="30" a="1"/>
  <c r="EN57" i="30" a="1"/>
  <c r="EL57" i="30" a="1"/>
  <c r="EL56" i="30" a="1"/>
  <c r="EM57" i="30" a="1"/>
  <c r="EM56" i="30" a="1"/>
  <c r="EK57" i="30" a="1"/>
  <c r="EK56" i="30" a="1"/>
  <c r="EJ57" i="30" a="1"/>
  <c r="EJ56" i="30" a="1"/>
  <c r="FN33" i="30" a="1"/>
  <c r="FN31" i="30" a="1"/>
  <c r="FN34" i="30" a="1"/>
  <c r="FN32" i="30" a="1"/>
  <c r="FN30" i="30" a="1"/>
  <c r="FM34" i="30" a="1"/>
  <c r="FM32" i="30" a="1"/>
  <c r="FM31" i="30" a="1"/>
  <c r="FM30" i="30" a="1"/>
  <c r="FM33" i="30" a="1"/>
  <c r="FL34" i="30" a="1"/>
  <c r="FL32" i="30" a="1"/>
  <c r="FL31" i="30" a="1"/>
  <c r="FL33" i="30" a="1"/>
  <c r="FL30" i="30" a="1"/>
  <c r="FO31" i="30" a="1"/>
  <c r="FO33" i="30" a="1"/>
  <c r="FO32" i="30" a="1"/>
  <c r="FO30" i="30" a="1"/>
  <c r="FO34" i="30" a="1"/>
  <c r="FJ30" i="30" a="1"/>
  <c r="FJ33" i="30" a="1"/>
  <c r="FJ31" i="30" a="1"/>
  <c r="FJ34" i="30" a="1"/>
  <c r="FJ32" i="30" a="1"/>
  <c r="FP33" i="30" a="1"/>
  <c r="FP30" i="30" a="1"/>
  <c r="FP34" i="30" a="1"/>
  <c r="FP32" i="30" a="1"/>
  <c r="FP31" i="30" a="1"/>
  <c r="FK31" i="30" a="1"/>
  <c r="FK34" i="30" a="1"/>
  <c r="FK30" i="30" a="1"/>
  <c r="FK33" i="30" a="1"/>
  <c r="FK32" i="30" a="1"/>
  <c r="EH31" i="30" a="1"/>
  <c r="EH30" i="30" a="1"/>
  <c r="EH33" i="30" a="1"/>
  <c r="EH34" i="30" a="1"/>
  <c r="EH32" i="30" a="1"/>
  <c r="EI32" i="30" a="1"/>
  <c r="EI31" i="30" a="1"/>
  <c r="EI34" i="30" a="1"/>
  <c r="EI33" i="30" a="1"/>
  <c r="EI30" i="30" a="1"/>
  <c r="EN34" i="30" a="1"/>
  <c r="EN33" i="30" a="1"/>
  <c r="EN31" i="30" a="1"/>
  <c r="EN30" i="30" a="1"/>
  <c r="EN32" i="30" a="1"/>
  <c r="EL32" i="30" a="1"/>
  <c r="EL31" i="30" a="1"/>
  <c r="EL33" i="30" a="1"/>
  <c r="EL34" i="30" a="1"/>
  <c r="EL30" i="30" a="1"/>
  <c r="EM32" i="30" a="1"/>
  <c r="EM30" i="30" a="1"/>
  <c r="EM33" i="30" a="1"/>
  <c r="EM31" i="30" a="1"/>
  <c r="EM34" i="30" a="1"/>
  <c r="EK30" i="30" a="1"/>
  <c r="EK32" i="30" a="1"/>
  <c r="EK34" i="30" a="1"/>
  <c r="EK31" i="30" a="1"/>
  <c r="EK33" i="30" a="1"/>
  <c r="EJ34" i="30" a="1"/>
  <c r="EJ30" i="30" a="1"/>
  <c r="EJ31" i="30" a="1"/>
  <c r="EJ33" i="30" a="1"/>
  <c r="EJ32" i="30" a="1"/>
  <c r="FN39" i="30" a="1"/>
  <c r="FN40" i="30" a="1"/>
  <c r="FN37" i="30" a="1"/>
  <c r="FN38" i="30" a="1"/>
  <c r="FN36" i="30" a="1"/>
  <c r="FM38" i="30" a="1"/>
  <c r="FM40" i="30" a="1"/>
  <c r="FM36" i="30" a="1"/>
  <c r="FM37" i="30" a="1"/>
  <c r="FM39" i="30" a="1"/>
  <c r="FL40" i="30" a="1"/>
  <c r="FL38" i="30" a="1"/>
  <c r="FL36" i="30" a="1"/>
  <c r="FL37" i="30" a="1"/>
  <c r="FL39" i="30" a="1"/>
  <c r="FO37" i="30" a="1"/>
  <c r="FO39" i="30" a="1"/>
  <c r="FO36" i="30" a="1"/>
  <c r="FO40" i="30" a="1"/>
  <c r="FO38" i="30" a="1"/>
  <c r="FJ38" i="30" a="1"/>
  <c r="FJ40" i="30" a="1"/>
  <c r="FJ39" i="30" a="1"/>
  <c r="FJ36" i="30" a="1"/>
  <c r="FJ37" i="30" a="1"/>
  <c r="FP40" i="30" a="1"/>
  <c r="FP38" i="30" a="1"/>
  <c r="FP39" i="30" a="1"/>
  <c r="FP37" i="30" a="1"/>
  <c r="FP36" i="30" a="1"/>
  <c r="FK38" i="30" a="1"/>
  <c r="FK39" i="30" a="1"/>
  <c r="FK37" i="30" a="1"/>
  <c r="FK36" i="30" a="1"/>
  <c r="FK40" i="30" a="1"/>
  <c r="EH36" i="30" a="1"/>
  <c r="EH40" i="30" a="1"/>
  <c r="EH38" i="30" a="1"/>
  <c r="EH39" i="30" a="1"/>
  <c r="EH37" i="30" a="1"/>
  <c r="EI36" i="30" a="1"/>
  <c r="EI39" i="30" a="1"/>
  <c r="EI40" i="30" a="1"/>
  <c r="EI38" i="30" a="1"/>
  <c r="EI37" i="30" a="1"/>
  <c r="EN36" i="30" a="1"/>
  <c r="EN40" i="30" a="1"/>
  <c r="EN37" i="30" a="1"/>
  <c r="EN38" i="30" a="1"/>
  <c r="EN39" i="30" a="1"/>
  <c r="EL38" i="30" a="1"/>
  <c r="EL39" i="30" a="1"/>
  <c r="EL37" i="30" a="1"/>
  <c r="EL40" i="30" a="1"/>
  <c r="EL36" i="30" a="1"/>
  <c r="EM39" i="30" a="1"/>
  <c r="EM38" i="30" a="1"/>
  <c r="EM36" i="30" a="1"/>
  <c r="EM40" i="30" a="1"/>
  <c r="EM37" i="30" a="1"/>
  <c r="EK38" i="30" a="1"/>
  <c r="EK39" i="30" a="1"/>
  <c r="EK40" i="30" a="1"/>
  <c r="EK36" i="30" a="1"/>
  <c r="EK37" i="30" a="1"/>
  <c r="EJ39" i="30" a="1"/>
  <c r="EJ40" i="30" a="1"/>
  <c r="EJ37" i="30" a="1"/>
  <c r="EJ38" i="30" a="1"/>
  <c r="EJ36" i="30" a="1"/>
  <c r="FN49" i="30" a="1"/>
  <c r="FN43" i="30" a="1"/>
  <c r="FN42" i="30" a="1"/>
  <c r="FN44" i="30" a="1"/>
  <c r="FN45" i="30" a="1"/>
  <c r="FN46" i="30" a="1"/>
  <c r="FM49" i="30" a="1"/>
  <c r="FM43" i="30" a="1"/>
  <c r="FM46" i="30" a="1"/>
  <c r="FM42" i="30" a="1"/>
  <c r="FM44" i="30" a="1"/>
  <c r="FM45" i="30" a="1"/>
  <c r="FL49" i="30" a="1"/>
  <c r="FL45" i="30" a="1"/>
  <c r="FL43" i="30" a="1"/>
  <c r="FL46" i="30" a="1"/>
  <c r="FL42" i="30" a="1"/>
  <c r="FL44" i="30" a="1"/>
  <c r="FO49" i="30" a="1"/>
  <c r="FO44" i="30" a="1"/>
  <c r="FO43" i="30" a="1"/>
  <c r="FO42" i="30" a="1"/>
  <c r="FO46" i="30" a="1"/>
  <c r="FO45" i="30" a="1"/>
  <c r="FJ49" i="30" a="1"/>
  <c r="FJ42" i="30" a="1"/>
  <c r="FJ44" i="30" a="1"/>
  <c r="FJ43" i="30" a="1"/>
  <c r="FJ46" i="30" a="1"/>
  <c r="FJ45" i="30" a="1"/>
  <c r="FP49" i="30" a="1"/>
  <c r="FP46" i="30" a="1"/>
  <c r="FP43" i="30" a="1"/>
  <c r="FP42" i="30" a="1"/>
  <c r="FP45" i="30" a="1"/>
  <c r="FP44" i="30" a="1"/>
  <c r="FK49" i="30" a="1"/>
  <c r="FK43" i="30" a="1"/>
  <c r="FK45" i="30" a="1"/>
  <c r="FK42" i="30" a="1"/>
  <c r="FK46" i="30" a="1"/>
  <c r="FK44" i="30" a="1"/>
  <c r="EH43" i="30" a="1"/>
  <c r="EH44" i="30" a="1"/>
  <c r="EH45" i="30" a="1"/>
  <c r="EH42" i="30" a="1"/>
  <c r="EH46" i="30" a="1"/>
  <c r="EI45" i="30" a="1"/>
  <c r="EI44" i="30" a="1"/>
  <c r="EI42" i="30" a="1"/>
  <c r="EI43" i="30" a="1"/>
  <c r="EI46" i="30" a="1"/>
  <c r="EN45" i="30" a="1"/>
  <c r="EN44" i="30" a="1"/>
  <c r="EN43" i="30" a="1"/>
  <c r="EN42" i="30" a="1"/>
  <c r="EN46" i="30" a="1"/>
  <c r="EL44" i="30" a="1"/>
  <c r="EL43" i="30" a="1"/>
  <c r="EL42" i="30" a="1"/>
  <c r="EL46" i="30" a="1"/>
  <c r="EL45" i="30" a="1"/>
  <c r="EM43" i="30" a="1"/>
  <c r="EM46" i="30" a="1"/>
  <c r="EM45" i="30" a="1"/>
  <c r="EM42" i="30" a="1"/>
  <c r="EM44" i="30" a="1"/>
  <c r="EK42" i="30" a="1"/>
  <c r="EK44" i="30" a="1"/>
  <c r="EK45" i="30" a="1"/>
  <c r="EK46" i="30" a="1"/>
  <c r="EK43" i="30" a="1"/>
  <c r="EJ45" i="30" a="1"/>
  <c r="EJ43" i="30" a="1"/>
  <c r="EJ46" i="30" a="1"/>
  <c r="EJ42" i="30" a="1"/>
  <c r="EJ44" i="30" a="1"/>
  <c r="FP24" i="30" a="1"/>
  <c r="FP27" i="30" a="1"/>
  <c r="FJ24" i="30" a="1"/>
  <c r="FJ27" i="30" a="1"/>
  <c r="FO24" i="30" a="1"/>
  <c r="FO27" i="30" a="1"/>
  <c r="FL24" i="30" a="1"/>
  <c r="FL27" i="30" a="1"/>
  <c r="FM24" i="30" a="1"/>
  <c r="FM27" i="30" a="1"/>
  <c r="FK24" i="30" a="1"/>
  <c r="FK27" i="30" a="1"/>
  <c r="FN24" i="30" a="1"/>
  <c r="FN27" i="30" a="1"/>
  <c r="FK15" i="30" a="1"/>
  <c r="FK18" i="30" a="1"/>
  <c r="FP15" i="30" a="1"/>
  <c r="FP18" i="30" a="1"/>
  <c r="FO15" i="30" a="1"/>
  <c r="FO18" i="30" a="1"/>
  <c r="FL15" i="30" a="1"/>
  <c r="FL18" i="30" a="1"/>
  <c r="FM15" i="30" a="1"/>
  <c r="FM18" i="30" a="1"/>
  <c r="FJ15" i="30" a="1"/>
  <c r="FJ18" i="30" a="1"/>
  <c r="FN15" i="30" a="1"/>
  <c r="FN18" i="30" a="1"/>
  <c r="FO9" i="30" a="1"/>
  <c r="FO12" i="30" a="1"/>
  <c r="FJ9" i="30" a="1"/>
  <c r="FJ12" i="30" a="1"/>
  <c r="FM9" i="30" a="1"/>
  <c r="FM12" i="30" a="1"/>
  <c r="FK9" i="30" a="1"/>
  <c r="FK12" i="30" a="1"/>
  <c r="FL9" i="30" a="1"/>
  <c r="FL12" i="30" a="1"/>
  <c r="FN9" i="30" a="1"/>
  <c r="FN12" i="30" a="1"/>
  <c r="FP9" i="30" a="1"/>
  <c r="FP12" i="30" a="1"/>
  <c r="FN10" i="30" a="1"/>
  <c r="FN65" i="30" a="1"/>
  <c r="FN11" i="30" a="1"/>
  <c r="FN50" i="30" a="1"/>
  <c r="FN47" i="30" a="1"/>
  <c r="FN58" i="30" a="1"/>
  <c r="FN7" i="30" a="1"/>
  <c r="FN28" i="30" a="1"/>
  <c r="FN25" i="30" a="1"/>
  <c r="FN52" i="30" a="1"/>
  <c r="FN14" i="30" a="1"/>
  <c r="FN20" i="30" a="1"/>
  <c r="FN17" i="30" a="1"/>
  <c r="FN64" i="30" a="1"/>
  <c r="FN16" i="30" a="1"/>
  <c r="FN13" i="30" a="1"/>
  <c r="FN26" i="30" a="1"/>
  <c r="FN61" i="30" a="1"/>
  <c r="FN63" i="30" a="1"/>
  <c r="FN8" i="30" a="1"/>
  <c r="FN22" i="30" a="1"/>
  <c r="FN59" i="30" a="1"/>
  <c r="FN23" i="30" a="1"/>
  <c r="FN60" i="30" a="1"/>
  <c r="FN55" i="30" a="1"/>
  <c r="EV73" i="30"/>
  <c r="FN19" i="30" a="1"/>
  <c r="FN54" i="30" a="1"/>
  <c r="FN51" i="30" a="1"/>
  <c r="FN62" i="30" a="1"/>
  <c r="FN48" i="30" a="1"/>
  <c r="FJ17" i="30" a="1"/>
  <c r="FJ26" i="30" a="1"/>
  <c r="FJ16" i="30" a="1"/>
  <c r="FJ65" i="30" a="1"/>
  <c r="FJ28" i="30" a="1"/>
  <c r="FJ25" i="30" a="1"/>
  <c r="FJ62" i="30" a="1"/>
  <c r="FJ20" i="30" a="1"/>
  <c r="FJ14" i="30" a="1"/>
  <c r="FJ50" i="30" a="1"/>
  <c r="FJ51" i="30" a="1"/>
  <c r="FJ58" i="30" a="1"/>
  <c r="FJ64" i="30" a="1"/>
  <c r="FJ59" i="30" a="1"/>
  <c r="FJ47" i="30" a="1"/>
  <c r="FJ61" i="30" a="1"/>
  <c r="FJ11" i="30" a="1"/>
  <c r="FJ48" i="30" a="1"/>
  <c r="FJ60" i="30" a="1"/>
  <c r="FJ55" i="30" a="1"/>
  <c r="FJ52" i="30" a="1"/>
  <c r="FJ19" i="30" a="1"/>
  <c r="FJ23" i="30" a="1"/>
  <c r="ER73" i="30"/>
  <c r="FJ8" i="30" a="1"/>
  <c r="FJ54" i="30" a="1"/>
  <c r="FJ63" i="30" a="1"/>
  <c r="FJ13" i="30" a="1"/>
  <c r="FJ22" i="30" a="1"/>
  <c r="FJ7" i="30" a="1"/>
  <c r="FJ10" i="30" a="1"/>
  <c r="FK17" i="30" a="1"/>
  <c r="FK16" i="30" a="1"/>
  <c r="FK11" i="30" a="1"/>
  <c r="FK26" i="30" a="1"/>
  <c r="FK8" i="30" a="1"/>
  <c r="FK25" i="30" a="1"/>
  <c r="FK20" i="30" a="1"/>
  <c r="FK19" i="30" a="1"/>
  <c r="FK48" i="30" a="1"/>
  <c r="FK7" i="30" a="1"/>
  <c r="FK47" i="30" a="1"/>
  <c r="FK28" i="30" a="1"/>
  <c r="FK23" i="30" a="1"/>
  <c r="FK52" i="30" a="1"/>
  <c r="FK22" i="30" a="1"/>
  <c r="FK51" i="30" a="1"/>
  <c r="FK50" i="30" a="1"/>
  <c r="FK59" i="30" a="1"/>
  <c r="FK58" i="30" a="1"/>
  <c r="FK64" i="30" a="1"/>
  <c r="FK55" i="30" a="1"/>
  <c r="FK54" i="30" a="1"/>
  <c r="FK63" i="30" a="1"/>
  <c r="FK62" i="30" a="1"/>
  <c r="FK13" i="30" a="1"/>
  <c r="FK61" i="30" a="1"/>
  <c r="FK60" i="30" a="1"/>
  <c r="FK10" i="30" a="1"/>
  <c r="ES73" i="30"/>
  <c r="FK65" i="30" a="1"/>
  <c r="FK14" i="30" a="1"/>
  <c r="FO20" i="30" a="1"/>
  <c r="FO23" i="30" a="1"/>
  <c r="FO19" i="30" a="1"/>
  <c r="FO55" i="30" a="1"/>
  <c r="FO17" i="30" a="1"/>
  <c r="FO58" i="30" a="1"/>
  <c r="FO22" i="30" a="1"/>
  <c r="FO63" i="30" a="1"/>
  <c r="FO60" i="30" a="1"/>
  <c r="FO16" i="30" a="1"/>
  <c r="FO10" i="30" a="1"/>
  <c r="FO51" i="30" a="1"/>
  <c r="FO13" i="30" a="1"/>
  <c r="FO52" i="30" a="1"/>
  <c r="FO14" i="30" a="1"/>
  <c r="FO59" i="30" a="1"/>
  <c r="FO54" i="30" a="1"/>
  <c r="FO8" i="30" a="1"/>
  <c r="EW73" i="30"/>
  <c r="FO11" i="30" a="1"/>
  <c r="FO47" i="30" a="1"/>
  <c r="FO50" i="30" a="1"/>
  <c r="FO65" i="30" a="1"/>
  <c r="FO28" i="30" a="1"/>
  <c r="FO61" i="30" a="1"/>
  <c r="FO25" i="30" a="1"/>
  <c r="FO62" i="30" a="1"/>
  <c r="FO26" i="30" a="1"/>
  <c r="FO48" i="30" a="1"/>
  <c r="FO7" i="30" a="1"/>
  <c r="FO64" i="30" a="1"/>
  <c r="FP10" i="30" a="1"/>
  <c r="EX73" i="30"/>
  <c r="FP8" i="30" a="1"/>
  <c r="FP62" i="30" a="1"/>
  <c r="FP7" i="30" a="1"/>
  <c r="FP14" i="30" a="1"/>
  <c r="FP13" i="30" a="1"/>
  <c r="FP16" i="30" a="1"/>
  <c r="FP58" i="30" a="1"/>
  <c r="FP61" i="30" a="1"/>
  <c r="FP11" i="30" a="1"/>
  <c r="FP22" i="30" a="1"/>
  <c r="FP17" i="30" a="1"/>
  <c r="FP20" i="30" a="1"/>
  <c r="FP64" i="30" a="1"/>
  <c r="FP19" i="30" a="1"/>
  <c r="FP26" i="30" a="1"/>
  <c r="FP25" i="30" a="1"/>
  <c r="FP28" i="30" a="1"/>
  <c r="FP60" i="30" a="1"/>
  <c r="FP23" i="30" a="1"/>
  <c r="FP48" i="30" a="1"/>
  <c r="FP47" i="30" a="1"/>
  <c r="FP50" i="30" a="1"/>
  <c r="FP59" i="30" a="1"/>
  <c r="FP52" i="30" a="1"/>
  <c r="FP51" i="30" a="1"/>
  <c r="FP54" i="30" a="1"/>
  <c r="FP55" i="30" a="1"/>
  <c r="FP63" i="30" a="1"/>
  <c r="FP65" i="30" a="1"/>
  <c r="FL55" i="30" a="1"/>
  <c r="FL54" i="30" a="1"/>
  <c r="FL63" i="30" a="1"/>
  <c r="FL62" i="30" a="1"/>
  <c r="FL61" i="30" a="1"/>
  <c r="FL60" i="30" a="1"/>
  <c r="FL10" i="30" a="1"/>
  <c r="ET73" i="30"/>
  <c r="FL65" i="30" a="1"/>
  <c r="FL64" i="30" a="1"/>
  <c r="FL14" i="30" a="1"/>
  <c r="FL13" i="30" a="1"/>
  <c r="FL8" i="30" a="1"/>
  <c r="FL7" i="30" a="1"/>
  <c r="FL22" i="30" a="1"/>
  <c r="FL17" i="30" a="1"/>
  <c r="FL16" i="30" a="1"/>
  <c r="FL11" i="30" a="1"/>
  <c r="FL26" i="30" a="1"/>
  <c r="FL25" i="30" a="1"/>
  <c r="FL20" i="30" a="1"/>
  <c r="FL19" i="30" a="1"/>
  <c r="FL48" i="30" a="1"/>
  <c r="FL47" i="30" a="1"/>
  <c r="FL28" i="30" a="1"/>
  <c r="FL23" i="30" a="1"/>
  <c r="FL52" i="30" a="1"/>
  <c r="FL51" i="30" a="1"/>
  <c r="FL50" i="30" a="1"/>
  <c r="FL59" i="30" a="1"/>
  <c r="FL58" i="30" a="1"/>
  <c r="FM10" i="30" a="1"/>
  <c r="FM63" i="30" a="1"/>
  <c r="FM60" i="30" a="1"/>
  <c r="FM20" i="30" a="1"/>
  <c r="FM61" i="30" a="1"/>
  <c r="FM25" i="30" a="1"/>
  <c r="FM17" i="30" a="1"/>
  <c r="FM19" i="30" a="1"/>
  <c r="FM55" i="30" a="1"/>
  <c r="FM62" i="30" a="1"/>
  <c r="FM54" i="30" a="1"/>
  <c r="FM16" i="30" a="1"/>
  <c r="FM59" i="30" a="1"/>
  <c r="FM11" i="30" a="1"/>
  <c r="FM14" i="30" a="1"/>
  <c r="FM50" i="30" a="1"/>
  <c r="FM8" i="30" a="1"/>
  <c r="FM51" i="30" a="1"/>
  <c r="FM13" i="30" a="1"/>
  <c r="FM58" i="30" a="1"/>
  <c r="FM7" i="30" a="1"/>
  <c r="FM64" i="30" a="1"/>
  <c r="FM28" i="30" a="1"/>
  <c r="FM65" i="30" a="1"/>
  <c r="FM47" i="30" a="1"/>
  <c r="EU73" i="30"/>
  <c r="FM48" i="30" a="1"/>
  <c r="FM52" i="30" a="1"/>
  <c r="FM23" i="30" a="1"/>
  <c r="FM26" i="30" a="1"/>
  <c r="FM22" i="30" a="1"/>
  <c r="DT74" i="30"/>
  <c r="DR74" i="30"/>
  <c r="DS74" i="30"/>
  <c r="DU74" i="30"/>
  <c r="DV74" i="30"/>
  <c r="DQ74" i="30"/>
  <c r="DP74" i="30"/>
  <c r="DY73" i="30"/>
  <c r="EB73" i="30"/>
  <c r="EA73" i="30"/>
  <c r="EC73" i="30"/>
  <c r="DZ73" i="30"/>
  <c r="ED73" i="30"/>
  <c r="EE73" i="30"/>
  <c r="EH10" i="30" a="1"/>
  <c r="EH14" i="30" a="1"/>
  <c r="EK10" i="30" a="1"/>
  <c r="EK14" i="30" a="1"/>
  <c r="EM10" i="30" a="1"/>
  <c r="EM14" i="30" a="1"/>
  <c r="EL10" i="30" a="1"/>
  <c r="EL14" i="30" a="1"/>
  <c r="EN10" i="30" a="1"/>
  <c r="EN14" i="30" a="1"/>
  <c r="EI10" i="30" a="1"/>
  <c r="EI14" i="30" a="1"/>
  <c r="EJ10" i="30" a="1"/>
  <c r="EJ14" i="30" a="1"/>
  <c r="EK23" i="30" a="1"/>
  <c r="EK19" i="30" a="1"/>
  <c r="EL23" i="30" a="1"/>
  <c r="EL19" i="30" a="1"/>
  <c r="EN23" i="30" a="1"/>
  <c r="EN19" i="30" a="1"/>
  <c r="EI23" i="30" a="1"/>
  <c r="EI19" i="30" a="1"/>
  <c r="EJ23" i="30" a="1"/>
  <c r="EJ19" i="30" a="1"/>
  <c r="EH23" i="30" a="1"/>
  <c r="EH19" i="30" a="1"/>
  <c r="EM23" i="30" a="1"/>
  <c r="EM19" i="30" a="1"/>
  <c r="EN61" i="30" a="1"/>
  <c r="DV73" i="30"/>
  <c r="EJ61" i="30" a="1"/>
  <c r="DR73" i="30"/>
  <c r="EM61" i="30" a="1"/>
  <c r="DU73" i="30"/>
  <c r="EI61" i="30" a="1"/>
  <c r="DQ73" i="30"/>
  <c r="EH61" i="30" a="1"/>
  <c r="DP73" i="30"/>
  <c r="EK61" i="30" a="1"/>
  <c r="DS73" i="30"/>
  <c r="EL61" i="30" a="1"/>
  <c r="DT73" i="30"/>
  <c r="EL49" i="30" a="1"/>
  <c r="EL54" i="30" a="1"/>
  <c r="EN49" i="30" a="1"/>
  <c r="EN54" i="30" a="1"/>
  <c r="EK49" i="30" a="1"/>
  <c r="EK54" i="30" a="1"/>
  <c r="EJ49" i="30" a="1"/>
  <c r="EJ54" i="30" a="1"/>
  <c r="EH54" i="30" a="1"/>
  <c r="EM49" i="30" a="1"/>
  <c r="EM54" i="30" a="1"/>
  <c r="EI49" i="30" a="1"/>
  <c r="EI54" i="30" a="1"/>
  <c r="EH49" i="30" a="1"/>
  <c r="EK7" i="30" a="1"/>
  <c r="EK11" i="30" a="1"/>
  <c r="EK15" i="30" a="1"/>
  <c r="EK27" i="30" a="1"/>
  <c r="EK53" i="30" a="1"/>
  <c r="EK59" i="30" a="1"/>
  <c r="EK63" i="30" a="1"/>
  <c r="EK64" i="30" a="1"/>
  <c r="EK18" i="30" a="1"/>
  <c r="EK22" i="30" a="1"/>
  <c r="EK26" i="30" a="1"/>
  <c r="EK48" i="30" a="1"/>
  <c r="EK52" i="30" a="1"/>
  <c r="EK58" i="30" a="1"/>
  <c r="EK62" i="30" a="1"/>
  <c r="EK60" i="30" a="1"/>
  <c r="EK50" i="30" a="1"/>
  <c r="EK9" i="30" a="1"/>
  <c r="EK13" i="30" a="1"/>
  <c r="EK17" i="30" a="1"/>
  <c r="EK21" i="30" a="1"/>
  <c r="EK25" i="30" a="1"/>
  <c r="EK47" i="30" a="1"/>
  <c r="EK51" i="30" a="1"/>
  <c r="EK55" i="30" a="1"/>
  <c r="EK65" i="30" a="1"/>
  <c r="EK8" i="30" a="1"/>
  <c r="EK12" i="30" a="1"/>
  <c r="EK16" i="30" a="1"/>
  <c r="EK20" i="30" a="1"/>
  <c r="EK24" i="30" a="1"/>
  <c r="EK28" i="30" a="1"/>
  <c r="EL7" i="30" a="1"/>
  <c r="EL11" i="30" a="1"/>
  <c r="EL15" i="30" a="1"/>
  <c r="EL27" i="30" a="1"/>
  <c r="EL53" i="30" a="1"/>
  <c r="EL59" i="30" a="1"/>
  <c r="EL63" i="30" a="1"/>
  <c r="EL47" i="30" a="1"/>
  <c r="EL55" i="30" a="1"/>
  <c r="EL65" i="30" a="1"/>
  <c r="EL18" i="30" a="1"/>
  <c r="EL22" i="30" a="1"/>
  <c r="EL26" i="30" a="1"/>
  <c r="EL48" i="30" a="1"/>
  <c r="EL52" i="30" a="1"/>
  <c r="EL58" i="30" a="1"/>
  <c r="EL62" i="30" a="1"/>
  <c r="EL51" i="30" a="1"/>
  <c r="EL9" i="30" a="1"/>
  <c r="EL13" i="30" a="1"/>
  <c r="EL17" i="30" a="1"/>
  <c r="EL21" i="30" a="1"/>
  <c r="EL25" i="30" a="1"/>
  <c r="EL8" i="30" a="1"/>
  <c r="EL12" i="30" a="1"/>
  <c r="EL16" i="30" a="1"/>
  <c r="EL20" i="30" a="1"/>
  <c r="EL24" i="30" a="1"/>
  <c r="EL28" i="30" a="1"/>
  <c r="EL50" i="30" a="1"/>
  <c r="EL60" i="30" a="1"/>
  <c r="EL64" i="30" a="1"/>
  <c r="EN58" i="30" a="1"/>
  <c r="EN8" i="30" a="1"/>
  <c r="EN12" i="30" a="1"/>
  <c r="EN16" i="30" a="1"/>
  <c r="EN20" i="30" a="1"/>
  <c r="EN24" i="30" a="1"/>
  <c r="EN28" i="30" a="1"/>
  <c r="EN50" i="30" a="1"/>
  <c r="EN60" i="30" a="1"/>
  <c r="EN64" i="30" a="1"/>
  <c r="EN52" i="30" a="1"/>
  <c r="EN62" i="30" a="1"/>
  <c r="EN7" i="30" a="1"/>
  <c r="EN11" i="30" a="1"/>
  <c r="EN15" i="30" a="1"/>
  <c r="EN27" i="30" a="1"/>
  <c r="EN53" i="30" a="1"/>
  <c r="EN59" i="30" a="1"/>
  <c r="EN63" i="30" a="1"/>
  <c r="EN48" i="30" a="1"/>
  <c r="EN18" i="30" a="1"/>
  <c r="EN22" i="30" a="1"/>
  <c r="EN26" i="30" a="1"/>
  <c r="EN9" i="30" a="1"/>
  <c r="EN13" i="30" a="1"/>
  <c r="EN17" i="30" a="1"/>
  <c r="EN21" i="30" a="1"/>
  <c r="EN25" i="30" a="1"/>
  <c r="EN47" i="30" a="1"/>
  <c r="EN51" i="30" a="1"/>
  <c r="EN55" i="30" a="1"/>
  <c r="EN65" i="30" a="1"/>
  <c r="EJ28" i="30" a="1"/>
  <c r="EJ18" i="30" a="1"/>
  <c r="EJ22" i="30" a="1"/>
  <c r="EJ26" i="30" a="1"/>
  <c r="EJ48" i="30" a="1"/>
  <c r="EJ52" i="30" a="1"/>
  <c r="EJ58" i="30" a="1"/>
  <c r="EJ62" i="30" a="1"/>
  <c r="EJ9" i="30" a="1"/>
  <c r="EJ13" i="30" a="1"/>
  <c r="EJ17" i="30" a="1"/>
  <c r="EJ21" i="30" a="1"/>
  <c r="EJ25" i="30" a="1"/>
  <c r="EJ47" i="30" a="1"/>
  <c r="EJ51" i="30" a="1"/>
  <c r="EJ55" i="30" a="1"/>
  <c r="EJ65" i="30" a="1"/>
  <c r="EJ64" i="30" a="1"/>
  <c r="EJ8" i="30" a="1"/>
  <c r="EJ12" i="30" a="1"/>
  <c r="EJ16" i="30" a="1"/>
  <c r="EJ20" i="30" a="1"/>
  <c r="EJ24" i="30" a="1"/>
  <c r="EJ7" i="30" a="1"/>
  <c r="EJ11" i="30" a="1"/>
  <c r="EJ15" i="30" a="1"/>
  <c r="EJ27" i="30" a="1"/>
  <c r="EJ53" i="30" a="1"/>
  <c r="EJ59" i="30" a="1"/>
  <c r="EJ63" i="30" a="1"/>
  <c r="EJ50" i="30" a="1"/>
  <c r="EJ60" i="30" a="1"/>
  <c r="EH7" i="30" a="1"/>
  <c r="EH15" i="30" a="1"/>
  <c r="EH59" i="30" a="1"/>
  <c r="EH12" i="30" a="1"/>
  <c r="EH55" i="30" a="1"/>
  <c r="EH8" i="30" a="1"/>
  <c r="EH16" i="30" a="1"/>
  <c r="EH24" i="30" a="1"/>
  <c r="EH50" i="30" a="1"/>
  <c r="EH60" i="30" a="1"/>
  <c r="EH9" i="30" a="1"/>
  <c r="EH17" i="30" a="1"/>
  <c r="EH25" i="30" a="1"/>
  <c r="EH51" i="30" a="1"/>
  <c r="EH21" i="30" a="1"/>
  <c r="EH18" i="30" a="1"/>
  <c r="EH26" i="30" a="1"/>
  <c r="EH52" i="30" a="1"/>
  <c r="EH62" i="30" a="1"/>
  <c r="EH64" i="30" a="1"/>
  <c r="EH47" i="30" a="1"/>
  <c r="EH11" i="30" a="1"/>
  <c r="EH27" i="30" a="1"/>
  <c r="EH53" i="30" a="1"/>
  <c r="EH63" i="30" a="1"/>
  <c r="EH28" i="30" a="1"/>
  <c r="EH13" i="30" a="1"/>
  <c r="EH22" i="30" a="1"/>
  <c r="EH48" i="30" a="1"/>
  <c r="EH58" i="30" a="1"/>
  <c r="EH20" i="30" a="1"/>
  <c r="EH65" i="30" a="1"/>
  <c r="EM8" i="30" a="1"/>
  <c r="EM12" i="30" a="1"/>
  <c r="EM16" i="30" a="1"/>
  <c r="EM20" i="30" a="1"/>
  <c r="EM24" i="30" a="1"/>
  <c r="EM28" i="30" a="1"/>
  <c r="EM50" i="30" a="1"/>
  <c r="EM60" i="30" a="1"/>
  <c r="EM64" i="30" a="1"/>
  <c r="EM51" i="30" a="1"/>
  <c r="EM7" i="30" a="1"/>
  <c r="EM11" i="30" a="1"/>
  <c r="EM15" i="30" a="1"/>
  <c r="EM27" i="30" a="1"/>
  <c r="EM53" i="30" a="1"/>
  <c r="EM59" i="30" a="1"/>
  <c r="EM63" i="30" a="1"/>
  <c r="EM18" i="30" a="1"/>
  <c r="EM22" i="30" a="1"/>
  <c r="EM26" i="30" a="1"/>
  <c r="EM48" i="30" a="1"/>
  <c r="EM52" i="30" a="1"/>
  <c r="EM58" i="30" a="1"/>
  <c r="EM62" i="30" a="1"/>
  <c r="EM9" i="30" a="1"/>
  <c r="EM13" i="30" a="1"/>
  <c r="EM17" i="30" a="1"/>
  <c r="EM21" i="30" a="1"/>
  <c r="EM25" i="30" a="1"/>
  <c r="EM47" i="30" a="1"/>
  <c r="EM55" i="30" a="1"/>
  <c r="EM65" i="30" a="1"/>
  <c r="EI18" i="30" a="1"/>
  <c r="EI22" i="30" a="1"/>
  <c r="EI26" i="30" a="1"/>
  <c r="EI48" i="30" a="1"/>
  <c r="EI52" i="30" a="1"/>
  <c r="EI58" i="30" a="1"/>
  <c r="EI62" i="30" a="1"/>
  <c r="EI63" i="30" a="1"/>
  <c r="EI53" i="30" a="1"/>
  <c r="EI9" i="30" a="1"/>
  <c r="EI13" i="30" a="1"/>
  <c r="EI17" i="30" a="1"/>
  <c r="EI21" i="30" a="1"/>
  <c r="EI25" i="30" a="1"/>
  <c r="EI47" i="30" a="1"/>
  <c r="EI51" i="30" a="1"/>
  <c r="EI55" i="30" a="1"/>
  <c r="EI65" i="30" a="1"/>
  <c r="EI8" i="30" a="1"/>
  <c r="EI12" i="30" a="1"/>
  <c r="EI16" i="30" a="1"/>
  <c r="EI20" i="30" a="1"/>
  <c r="EI24" i="30" a="1"/>
  <c r="EI28" i="30" a="1"/>
  <c r="EI50" i="30" a="1"/>
  <c r="EI60" i="30" a="1"/>
  <c r="EI64" i="30" a="1"/>
  <c r="EI59" i="30" a="1"/>
  <c r="EI7" i="30" a="1"/>
  <c r="EI11" i="30" a="1"/>
  <c r="EI15" i="30" a="1"/>
  <c r="EI27" i="30" a="1"/>
  <c r="Q11" i="30" l="1" a="1"/>
  <c r="Q6" i="30" a="1"/>
  <c r="Q21" i="30" a="1"/>
  <c r="Q16" i="30" a="1"/>
  <c r="Q26" i="30" a="1"/>
  <c r="M6" i="30" a="1"/>
  <c r="M65" i="30" a="1"/>
  <c r="M26" i="30" a="1"/>
  <c r="M21" i="30" a="1"/>
  <c r="M11" i="30" a="1"/>
  <c r="M16" i="30" a="1"/>
  <c r="FP65" i="30" l="1"/>
  <c r="FO65" i="30"/>
  <c r="FN65" i="30"/>
  <c r="FM65" i="30"/>
  <c r="FL65" i="30"/>
  <c r="FK65" i="30"/>
  <c r="FJ65" i="30"/>
  <c r="EN65" i="30"/>
  <c r="EM65" i="30"/>
  <c r="EL65" i="30"/>
  <c r="EK65" i="30"/>
  <c r="EJ65" i="30"/>
  <c r="EI65" i="30"/>
  <c r="EH65" i="30"/>
  <c r="M65" i="30"/>
  <c r="FP64" i="30"/>
  <c r="FO64" i="30"/>
  <c r="FN64" i="30"/>
  <c r="FM64" i="30"/>
  <c r="FL64" i="30"/>
  <c r="FK64" i="30"/>
  <c r="FJ64" i="30"/>
  <c r="EN64" i="30"/>
  <c r="EM64" i="30"/>
  <c r="EL64" i="30"/>
  <c r="EK64" i="30"/>
  <c r="EJ64" i="30"/>
  <c r="EI64" i="30"/>
  <c r="EH64" i="30"/>
  <c r="FP63" i="30"/>
  <c r="FO63" i="30"/>
  <c r="FN63" i="30"/>
  <c r="FM63" i="30"/>
  <c r="FL63" i="30"/>
  <c r="FK63" i="30"/>
  <c r="FJ63" i="30"/>
  <c r="EN63" i="30"/>
  <c r="EM63" i="30"/>
  <c r="EL63" i="30"/>
  <c r="EK63" i="30"/>
  <c r="EJ63" i="30"/>
  <c r="EI63" i="30"/>
  <c r="EH63" i="30"/>
  <c r="FP62" i="30"/>
  <c r="FO62" i="30"/>
  <c r="FN62" i="30"/>
  <c r="FM62" i="30"/>
  <c r="FL62" i="30"/>
  <c r="FK62" i="30"/>
  <c r="FJ62" i="30"/>
  <c r="EN62" i="30"/>
  <c r="EM62" i="30"/>
  <c r="EL62" i="30"/>
  <c r="EK62" i="30"/>
  <c r="EJ62" i="30"/>
  <c r="EI62" i="30"/>
  <c r="EH62" i="30"/>
  <c r="FP61" i="30"/>
  <c r="FO61" i="30"/>
  <c r="FN61" i="30"/>
  <c r="FM61" i="30"/>
  <c r="FL61" i="30"/>
  <c r="FK61" i="30"/>
  <c r="FJ61" i="30"/>
  <c r="EN61" i="30"/>
  <c r="EM61" i="30"/>
  <c r="EL61" i="30"/>
  <c r="EK61" i="30"/>
  <c r="EJ61" i="30"/>
  <c r="EI61" i="30"/>
  <c r="EH61" i="30"/>
  <c r="FP60" i="30"/>
  <c r="FO60" i="30"/>
  <c r="FN60" i="30"/>
  <c r="FM60" i="30"/>
  <c r="FL60" i="30"/>
  <c r="FK60" i="30"/>
  <c r="FJ60" i="30"/>
  <c r="EN60" i="30"/>
  <c r="EM60" i="30"/>
  <c r="EL60" i="30"/>
  <c r="EK60" i="30"/>
  <c r="EJ60" i="30"/>
  <c r="EI60" i="30"/>
  <c r="EH60" i="30"/>
  <c r="FP59" i="30"/>
  <c r="FO59" i="30"/>
  <c r="FN59" i="30"/>
  <c r="FM59" i="30"/>
  <c r="FL59" i="30"/>
  <c r="FK59" i="30"/>
  <c r="FJ59" i="30"/>
  <c r="EN59" i="30"/>
  <c r="EM59" i="30"/>
  <c r="EL59" i="30"/>
  <c r="EK59" i="30"/>
  <c r="EJ59" i="30"/>
  <c r="EI59" i="30"/>
  <c r="EH59" i="30"/>
  <c r="FP58" i="30"/>
  <c r="FO58" i="30"/>
  <c r="FN58" i="30"/>
  <c r="FM58" i="30"/>
  <c r="FL58" i="30"/>
  <c r="FK58" i="30"/>
  <c r="FJ58" i="30"/>
  <c r="EN58" i="30"/>
  <c r="EM58" i="30"/>
  <c r="EL58" i="30"/>
  <c r="EK58" i="30"/>
  <c r="EJ58" i="30"/>
  <c r="EI58" i="30"/>
  <c r="EH58" i="30"/>
  <c r="FP57" i="30"/>
  <c r="FO57" i="30"/>
  <c r="FN57" i="30"/>
  <c r="FM57" i="30"/>
  <c r="FL57" i="30"/>
  <c r="FK57" i="30"/>
  <c r="FJ57" i="30"/>
  <c r="EN57" i="30"/>
  <c r="EM57" i="30"/>
  <c r="EL57" i="30"/>
  <c r="EK57" i="30"/>
  <c r="EJ57" i="30"/>
  <c r="EI57" i="30"/>
  <c r="EH57" i="30"/>
  <c r="FP56" i="30"/>
  <c r="FO56" i="30"/>
  <c r="FN56" i="30"/>
  <c r="FM56" i="30"/>
  <c r="FL56" i="30"/>
  <c r="FK56" i="30"/>
  <c r="FJ56" i="30"/>
  <c r="EN56" i="30"/>
  <c r="EM56" i="30"/>
  <c r="EL56" i="30"/>
  <c r="EK56" i="30"/>
  <c r="EJ56" i="30"/>
  <c r="EI56" i="30"/>
  <c r="EH56" i="30"/>
  <c r="FP55" i="30"/>
  <c r="FO55" i="30"/>
  <c r="FN55" i="30"/>
  <c r="FM55" i="30"/>
  <c r="FL55" i="30"/>
  <c r="FK55" i="30"/>
  <c r="FJ55" i="30"/>
  <c r="EN55" i="30"/>
  <c r="EM55" i="30"/>
  <c r="EL55" i="30"/>
  <c r="EK55" i="30"/>
  <c r="EJ55" i="30"/>
  <c r="EI55" i="30"/>
  <c r="EH55" i="30"/>
  <c r="FP54" i="30"/>
  <c r="FO54" i="30"/>
  <c r="FN54" i="30"/>
  <c r="FM54" i="30"/>
  <c r="FL54" i="30"/>
  <c r="FK54" i="30"/>
  <c r="FJ54" i="30"/>
  <c r="EN54" i="30"/>
  <c r="EM54" i="30"/>
  <c r="EL54" i="30"/>
  <c r="EK54" i="30"/>
  <c r="EJ54" i="30"/>
  <c r="EI54" i="30"/>
  <c r="EH54" i="30"/>
  <c r="FP53" i="30"/>
  <c r="FO53" i="30"/>
  <c r="FN53" i="30"/>
  <c r="FM53" i="30"/>
  <c r="FL53" i="30"/>
  <c r="FK53" i="30"/>
  <c r="FJ53" i="30"/>
  <c r="EN53" i="30"/>
  <c r="EM53" i="30"/>
  <c r="EL53" i="30"/>
  <c r="EK53" i="30"/>
  <c r="EJ53" i="30"/>
  <c r="EI53" i="30"/>
  <c r="EH53" i="30"/>
  <c r="FP52" i="30"/>
  <c r="FO52" i="30"/>
  <c r="FN52" i="30"/>
  <c r="FM52" i="30"/>
  <c r="FL52" i="30"/>
  <c r="FK52" i="30"/>
  <c r="FJ52" i="30"/>
  <c r="EN52" i="30"/>
  <c r="EM52" i="30"/>
  <c r="EL52" i="30"/>
  <c r="EK52" i="30"/>
  <c r="EJ52" i="30"/>
  <c r="EI52" i="30"/>
  <c r="EH52" i="30"/>
  <c r="FP51" i="30"/>
  <c r="FO51" i="30"/>
  <c r="FN51" i="30"/>
  <c r="FM51" i="30"/>
  <c r="FL51" i="30"/>
  <c r="FK51" i="30"/>
  <c r="FJ51" i="30"/>
  <c r="EN51" i="30"/>
  <c r="EM51" i="30"/>
  <c r="EL51" i="30"/>
  <c r="EK51" i="30"/>
  <c r="EJ51" i="30"/>
  <c r="EI51" i="30"/>
  <c r="EH51" i="30"/>
  <c r="FP50" i="30"/>
  <c r="FO50" i="30"/>
  <c r="FN50" i="30"/>
  <c r="FM50" i="30"/>
  <c r="FL50" i="30"/>
  <c r="FK50" i="30"/>
  <c r="FJ50" i="30"/>
  <c r="EN50" i="30"/>
  <c r="EM50" i="30"/>
  <c r="EL50" i="30"/>
  <c r="EK50" i="30"/>
  <c r="EJ50" i="30"/>
  <c r="EI50" i="30"/>
  <c r="EH50" i="30"/>
  <c r="FP49" i="30"/>
  <c r="FO49" i="30"/>
  <c r="FN49" i="30"/>
  <c r="FM49" i="30"/>
  <c r="FL49" i="30"/>
  <c r="FK49" i="30"/>
  <c r="FJ49" i="30"/>
  <c r="EN49" i="30"/>
  <c r="EM49" i="30"/>
  <c r="EL49" i="30"/>
  <c r="EK49" i="30"/>
  <c r="EJ49" i="30"/>
  <c r="EI49" i="30"/>
  <c r="EH49" i="30"/>
  <c r="FP48" i="30"/>
  <c r="FO48" i="30"/>
  <c r="FN48" i="30"/>
  <c r="FM48" i="30"/>
  <c r="FL48" i="30"/>
  <c r="FK48" i="30"/>
  <c r="FJ48" i="30"/>
  <c r="EN48" i="30"/>
  <c r="EM48" i="30"/>
  <c r="EL48" i="30"/>
  <c r="EK48" i="30"/>
  <c r="EJ48" i="30"/>
  <c r="EI48" i="30"/>
  <c r="EH48" i="30"/>
  <c r="FP47" i="30"/>
  <c r="FO47" i="30"/>
  <c r="FN47" i="30"/>
  <c r="FM47" i="30"/>
  <c r="FL47" i="30"/>
  <c r="FK47" i="30"/>
  <c r="FJ47" i="30"/>
  <c r="EN47" i="30"/>
  <c r="EM47" i="30"/>
  <c r="EL47" i="30"/>
  <c r="EK47" i="30"/>
  <c r="EJ47" i="30"/>
  <c r="EI47" i="30"/>
  <c r="EH47" i="30"/>
  <c r="FP46" i="30"/>
  <c r="FO46" i="30"/>
  <c r="FN46" i="30"/>
  <c r="FM46" i="30"/>
  <c r="FL46" i="30"/>
  <c r="FK46" i="30"/>
  <c r="FJ46" i="30"/>
  <c r="EN46" i="30"/>
  <c r="EM46" i="30"/>
  <c r="EL46" i="30"/>
  <c r="EK46" i="30"/>
  <c r="EJ46" i="30"/>
  <c r="EI46" i="30"/>
  <c r="EH46" i="30"/>
  <c r="FP45" i="30"/>
  <c r="FO45" i="30"/>
  <c r="FN45" i="30"/>
  <c r="FM45" i="30"/>
  <c r="FL45" i="30"/>
  <c r="FK45" i="30"/>
  <c r="FJ45" i="30"/>
  <c r="EN45" i="30"/>
  <c r="EM45" i="30"/>
  <c r="EL45" i="30"/>
  <c r="EK45" i="30"/>
  <c r="EJ45" i="30"/>
  <c r="EI45" i="30"/>
  <c r="EH45" i="30"/>
  <c r="FP44" i="30"/>
  <c r="FO44" i="30"/>
  <c r="FN44" i="30"/>
  <c r="FM44" i="30"/>
  <c r="FL44" i="30"/>
  <c r="FK44" i="30"/>
  <c r="FJ44" i="30"/>
  <c r="EN44" i="30"/>
  <c r="EM44" i="30"/>
  <c r="EL44" i="30"/>
  <c r="EK44" i="30"/>
  <c r="EJ44" i="30"/>
  <c r="EI44" i="30"/>
  <c r="EH44" i="30"/>
  <c r="FP43" i="30"/>
  <c r="FO43" i="30"/>
  <c r="FN43" i="30"/>
  <c r="FM43" i="30"/>
  <c r="FL43" i="30"/>
  <c r="FK43" i="30"/>
  <c r="FJ43" i="30"/>
  <c r="EN43" i="30"/>
  <c r="EM43" i="30"/>
  <c r="EL43" i="30"/>
  <c r="EK43" i="30"/>
  <c r="EJ43" i="30"/>
  <c r="EI43" i="30"/>
  <c r="EH43" i="30"/>
  <c r="FP42" i="30"/>
  <c r="FO42" i="30"/>
  <c r="FN42" i="30"/>
  <c r="FM42" i="30"/>
  <c r="FL42" i="30"/>
  <c r="FK42" i="30"/>
  <c r="FJ42" i="30"/>
  <c r="EN42" i="30"/>
  <c r="EM42" i="30"/>
  <c r="EL42" i="30"/>
  <c r="EK42" i="30"/>
  <c r="EJ42" i="30"/>
  <c r="EI42" i="30"/>
  <c r="EH42" i="30"/>
  <c r="FP41" i="30"/>
  <c r="FO41" i="30"/>
  <c r="FN41" i="30"/>
  <c r="FM41" i="30"/>
  <c r="FL41" i="30"/>
  <c r="FK41" i="30"/>
  <c r="FJ41" i="30"/>
  <c r="EN41" i="30"/>
  <c r="EM41" i="30"/>
  <c r="EL41" i="30"/>
  <c r="EK41" i="30"/>
  <c r="EJ41" i="30"/>
  <c r="EI41" i="30"/>
  <c r="EH41" i="30"/>
  <c r="FP40" i="30"/>
  <c r="FO40" i="30"/>
  <c r="FN40" i="30"/>
  <c r="FM40" i="30"/>
  <c r="FL40" i="30"/>
  <c r="FK40" i="30"/>
  <c r="FJ40" i="30"/>
  <c r="EN40" i="30"/>
  <c r="EM40" i="30"/>
  <c r="EL40" i="30"/>
  <c r="EK40" i="30"/>
  <c r="EJ40" i="30"/>
  <c r="EI40" i="30"/>
  <c r="EH40" i="30"/>
  <c r="FP39" i="30"/>
  <c r="FO39" i="30"/>
  <c r="FN39" i="30"/>
  <c r="FM39" i="30"/>
  <c r="FL39" i="30"/>
  <c r="FK39" i="30"/>
  <c r="FJ39" i="30"/>
  <c r="EN39" i="30"/>
  <c r="EM39" i="30"/>
  <c r="EL39" i="30"/>
  <c r="EK39" i="30"/>
  <c r="EJ39" i="30"/>
  <c r="EI39" i="30"/>
  <c r="EH39" i="30"/>
  <c r="FP38" i="30"/>
  <c r="FO38" i="30"/>
  <c r="FN38" i="30"/>
  <c r="FM38" i="30"/>
  <c r="FL38" i="30"/>
  <c r="FK38" i="30"/>
  <c r="FJ38" i="30"/>
  <c r="EN38" i="30"/>
  <c r="EM38" i="30"/>
  <c r="EL38" i="30"/>
  <c r="EK38" i="30"/>
  <c r="EJ38" i="30"/>
  <c r="EI38" i="30"/>
  <c r="EH38" i="30"/>
  <c r="FP37" i="30"/>
  <c r="FO37" i="30"/>
  <c r="FN37" i="30"/>
  <c r="FM37" i="30"/>
  <c r="FL37" i="30"/>
  <c r="FK37" i="30"/>
  <c r="FJ37" i="30"/>
  <c r="EN37" i="30"/>
  <c r="EM37" i="30"/>
  <c r="EL37" i="30"/>
  <c r="EK37" i="30"/>
  <c r="EJ37" i="30"/>
  <c r="EI37" i="30"/>
  <c r="EH37" i="30"/>
  <c r="FP36" i="30"/>
  <c r="FO36" i="30"/>
  <c r="FN36" i="30"/>
  <c r="FM36" i="30"/>
  <c r="FL36" i="30"/>
  <c r="FK36" i="30"/>
  <c r="FJ36" i="30"/>
  <c r="EN36" i="30"/>
  <c r="EM36" i="30"/>
  <c r="EL36" i="30"/>
  <c r="EK36" i="30"/>
  <c r="EJ36" i="30"/>
  <c r="EI36" i="30"/>
  <c r="EH36" i="30"/>
  <c r="FP35" i="30"/>
  <c r="FO35" i="30"/>
  <c r="FN35" i="30"/>
  <c r="FM35" i="30"/>
  <c r="FL35" i="30"/>
  <c r="FK35" i="30"/>
  <c r="FJ35" i="30"/>
  <c r="EN35" i="30"/>
  <c r="EM35" i="30"/>
  <c r="EL35" i="30"/>
  <c r="EK35" i="30"/>
  <c r="EJ35" i="30"/>
  <c r="EI35" i="30"/>
  <c r="EH35" i="30"/>
  <c r="FP34" i="30"/>
  <c r="FO34" i="30"/>
  <c r="FN34" i="30"/>
  <c r="FM34" i="30"/>
  <c r="FL34" i="30"/>
  <c r="FK34" i="30"/>
  <c r="FJ34" i="30"/>
  <c r="EN34" i="30"/>
  <c r="EM34" i="30"/>
  <c r="EL34" i="30"/>
  <c r="EK34" i="30"/>
  <c r="EJ34" i="30"/>
  <c r="EI34" i="30"/>
  <c r="EH34" i="30"/>
  <c r="FP33" i="30"/>
  <c r="FO33" i="30"/>
  <c r="FN33" i="30"/>
  <c r="FM33" i="30"/>
  <c r="FL33" i="30"/>
  <c r="FK33" i="30"/>
  <c r="FJ33" i="30"/>
  <c r="EN33" i="30"/>
  <c r="EM33" i="30"/>
  <c r="EL33" i="30"/>
  <c r="EK33" i="30"/>
  <c r="EJ33" i="30"/>
  <c r="EI33" i="30"/>
  <c r="EH33" i="30"/>
  <c r="FP32" i="30"/>
  <c r="FO32" i="30"/>
  <c r="FN32" i="30"/>
  <c r="FM32" i="30"/>
  <c r="FL32" i="30"/>
  <c r="FK32" i="30"/>
  <c r="FJ32" i="30"/>
  <c r="EN32" i="30"/>
  <c r="EM32" i="30"/>
  <c r="EL32" i="30"/>
  <c r="EK32" i="30"/>
  <c r="EJ32" i="30"/>
  <c r="EI32" i="30"/>
  <c r="EH32" i="30"/>
  <c r="FP31" i="30"/>
  <c r="FO31" i="30"/>
  <c r="FN31" i="30"/>
  <c r="FM31" i="30"/>
  <c r="FL31" i="30"/>
  <c r="FK31" i="30"/>
  <c r="FJ31" i="30"/>
  <c r="EN31" i="30"/>
  <c r="EM31" i="30"/>
  <c r="EL31" i="30"/>
  <c r="EK31" i="30"/>
  <c r="EJ31" i="30"/>
  <c r="EI31" i="30"/>
  <c r="EH31" i="30"/>
  <c r="FP30" i="30"/>
  <c r="FO30" i="30"/>
  <c r="FN30" i="30"/>
  <c r="FM30" i="30"/>
  <c r="FL30" i="30"/>
  <c r="FK30" i="30"/>
  <c r="FJ30" i="30"/>
  <c r="EN30" i="30"/>
  <c r="EM30" i="30"/>
  <c r="EL30" i="30"/>
  <c r="EK30" i="30"/>
  <c r="EJ30" i="30"/>
  <c r="EI30" i="30"/>
  <c r="EH30" i="30"/>
  <c r="FP29" i="30"/>
  <c r="FO29" i="30"/>
  <c r="FN29" i="30"/>
  <c r="FM29" i="30"/>
  <c r="FL29" i="30"/>
  <c r="FK29" i="30"/>
  <c r="FJ29" i="30"/>
  <c r="EN29" i="30"/>
  <c r="EM29" i="30"/>
  <c r="EL29" i="30"/>
  <c r="EK29" i="30"/>
  <c r="EJ29" i="30"/>
  <c r="EI29" i="30"/>
  <c r="EH29" i="30"/>
  <c r="FP28" i="30"/>
  <c r="FO28" i="30"/>
  <c r="FN28" i="30"/>
  <c r="FM28" i="30"/>
  <c r="FL28" i="30"/>
  <c r="FK28" i="30"/>
  <c r="FJ28" i="30"/>
  <c r="EN28" i="30"/>
  <c r="EM28" i="30"/>
  <c r="EL28" i="30"/>
  <c r="EK28" i="30"/>
  <c r="EJ28" i="30"/>
  <c r="EI28" i="30"/>
  <c r="EH28" i="30"/>
  <c r="FP27" i="30"/>
  <c r="FO27" i="30"/>
  <c r="FN27" i="30"/>
  <c r="FM27" i="30"/>
  <c r="FL27" i="30"/>
  <c r="FK27" i="30"/>
  <c r="FJ27" i="30"/>
  <c r="EN27" i="30"/>
  <c r="EM27" i="30"/>
  <c r="EL27" i="30"/>
  <c r="EK27" i="30"/>
  <c r="EJ27" i="30"/>
  <c r="EI27" i="30"/>
  <c r="EH27" i="30"/>
  <c r="FP26" i="30"/>
  <c r="FO26" i="30"/>
  <c r="FN26" i="30"/>
  <c r="FM26" i="30"/>
  <c r="FL26" i="30"/>
  <c r="FK26" i="30"/>
  <c r="FJ26" i="30"/>
  <c r="EN26" i="30"/>
  <c r="EM26" i="30"/>
  <c r="EL26" i="30"/>
  <c r="EK26" i="30"/>
  <c r="EJ26" i="30"/>
  <c r="EI26" i="30"/>
  <c r="EH26" i="30"/>
  <c r="Q26" i="30"/>
  <c r="M26" i="30"/>
  <c r="FP25" i="30"/>
  <c r="FO25" i="30"/>
  <c r="FN25" i="30"/>
  <c r="FM25" i="30"/>
  <c r="FL25" i="30"/>
  <c r="FK25" i="30"/>
  <c r="FJ25" i="30"/>
  <c r="EN25" i="30"/>
  <c r="EM25" i="30"/>
  <c r="EL25" i="30"/>
  <c r="EK25" i="30"/>
  <c r="EJ25" i="30"/>
  <c r="EI25" i="30"/>
  <c r="EH25" i="30"/>
  <c r="FP24" i="30"/>
  <c r="FO24" i="30"/>
  <c r="FN24" i="30"/>
  <c r="FM24" i="30"/>
  <c r="FL24" i="30"/>
  <c r="FK24" i="30"/>
  <c r="FJ24" i="30"/>
  <c r="EN24" i="30"/>
  <c r="EM24" i="30"/>
  <c r="EL24" i="30"/>
  <c r="EK24" i="30"/>
  <c r="EJ24" i="30"/>
  <c r="EI24" i="30"/>
  <c r="EH24" i="30"/>
  <c r="FP23" i="30"/>
  <c r="FO23" i="30"/>
  <c r="FN23" i="30"/>
  <c r="FM23" i="30"/>
  <c r="FL23" i="30"/>
  <c r="FK23" i="30"/>
  <c r="FJ23" i="30"/>
  <c r="EN23" i="30"/>
  <c r="EM23" i="30"/>
  <c r="EL23" i="30"/>
  <c r="EK23" i="30"/>
  <c r="EJ23" i="30"/>
  <c r="EI23" i="30"/>
  <c r="EH23" i="30"/>
  <c r="FP22" i="30"/>
  <c r="FO22" i="30"/>
  <c r="FN22" i="30"/>
  <c r="FM22" i="30"/>
  <c r="FL22" i="30"/>
  <c r="FK22" i="30"/>
  <c r="FJ22" i="30"/>
  <c r="EN22" i="30"/>
  <c r="EM22" i="30"/>
  <c r="EL22" i="30"/>
  <c r="EK22" i="30"/>
  <c r="EJ22" i="30"/>
  <c r="EI22" i="30"/>
  <c r="EH22" i="30"/>
  <c r="FP21" i="30"/>
  <c r="FO21" i="30"/>
  <c r="FN21" i="30"/>
  <c r="FM21" i="30"/>
  <c r="FL21" i="30"/>
  <c r="FK21" i="30"/>
  <c r="FJ21" i="30"/>
  <c r="EN21" i="30"/>
  <c r="EM21" i="30"/>
  <c r="EL21" i="30"/>
  <c r="EK21" i="30"/>
  <c r="EJ21" i="30"/>
  <c r="EI21" i="30"/>
  <c r="EH21" i="30"/>
  <c r="Q21" i="30"/>
  <c r="M21" i="30"/>
  <c r="FP20" i="30"/>
  <c r="FO20" i="30"/>
  <c r="FN20" i="30"/>
  <c r="FM20" i="30"/>
  <c r="FL20" i="30"/>
  <c r="FK20" i="30"/>
  <c r="FJ20" i="30"/>
  <c r="EN20" i="30"/>
  <c r="EM20" i="30"/>
  <c r="EL20" i="30"/>
  <c r="EK20" i="30"/>
  <c r="EJ20" i="30"/>
  <c r="EI20" i="30"/>
  <c r="EH20" i="30"/>
  <c r="FP19" i="30"/>
  <c r="FO19" i="30"/>
  <c r="FN19" i="30"/>
  <c r="FM19" i="30"/>
  <c r="FL19" i="30"/>
  <c r="FK19" i="30"/>
  <c r="FJ19" i="30"/>
  <c r="EN19" i="30"/>
  <c r="EM19" i="30"/>
  <c r="EL19" i="30"/>
  <c r="EK19" i="30"/>
  <c r="EJ19" i="30"/>
  <c r="EI19" i="30"/>
  <c r="EH19" i="30"/>
  <c r="FP18" i="30"/>
  <c r="FO18" i="30"/>
  <c r="FN18" i="30"/>
  <c r="FM18" i="30"/>
  <c r="FL18" i="30"/>
  <c r="FK18" i="30"/>
  <c r="FJ18" i="30"/>
  <c r="EN18" i="30"/>
  <c r="EM18" i="30"/>
  <c r="EL18" i="30"/>
  <c r="EK18" i="30"/>
  <c r="EJ18" i="30"/>
  <c r="EI18" i="30"/>
  <c r="EH18" i="30"/>
  <c r="FP17" i="30"/>
  <c r="FO17" i="30"/>
  <c r="FN17" i="30"/>
  <c r="FM17" i="30"/>
  <c r="FL17" i="30"/>
  <c r="FK17" i="30"/>
  <c r="FJ17" i="30"/>
  <c r="EN17" i="30"/>
  <c r="EM17" i="30"/>
  <c r="EL17" i="30"/>
  <c r="EK17" i="30"/>
  <c r="EJ17" i="30"/>
  <c r="EI17" i="30"/>
  <c r="EH17" i="30"/>
  <c r="FP16" i="30"/>
  <c r="FO16" i="30"/>
  <c r="FN16" i="30"/>
  <c r="FM16" i="30"/>
  <c r="FL16" i="30"/>
  <c r="FK16" i="30"/>
  <c r="FJ16" i="30"/>
  <c r="EN16" i="30"/>
  <c r="EM16" i="30"/>
  <c r="EL16" i="30"/>
  <c r="EK16" i="30"/>
  <c r="EJ16" i="30"/>
  <c r="EI16" i="30"/>
  <c r="EH16" i="30"/>
  <c r="Q16" i="30"/>
  <c r="M16" i="30"/>
  <c r="FP15" i="30"/>
  <c r="FO15" i="30"/>
  <c r="FN15" i="30"/>
  <c r="FM15" i="30"/>
  <c r="FL15" i="30"/>
  <c r="FK15" i="30"/>
  <c r="FJ15" i="30"/>
  <c r="EN15" i="30"/>
  <c r="EM15" i="30"/>
  <c r="EL15" i="30"/>
  <c r="EK15" i="30"/>
  <c r="EJ15" i="30"/>
  <c r="EI15" i="30"/>
  <c r="EH15" i="30"/>
  <c r="FP14" i="30"/>
  <c r="FO14" i="30"/>
  <c r="FN14" i="30"/>
  <c r="FM14" i="30"/>
  <c r="FL14" i="30"/>
  <c r="FK14" i="30"/>
  <c r="FJ14" i="30"/>
  <c r="EN14" i="30"/>
  <c r="EM14" i="30"/>
  <c r="EL14" i="30"/>
  <c r="EK14" i="30"/>
  <c r="EJ14" i="30"/>
  <c r="EI14" i="30"/>
  <c r="EH14" i="30"/>
  <c r="FP13" i="30"/>
  <c r="FO13" i="30"/>
  <c r="FN13" i="30"/>
  <c r="FM13" i="30"/>
  <c r="FL13" i="30"/>
  <c r="FK13" i="30"/>
  <c r="FJ13" i="30"/>
  <c r="EN13" i="30"/>
  <c r="EM13" i="30"/>
  <c r="EL13" i="30"/>
  <c r="EK13" i="30"/>
  <c r="EJ13" i="30"/>
  <c r="EI13" i="30"/>
  <c r="EH13" i="30"/>
  <c r="FP12" i="30"/>
  <c r="FO12" i="30"/>
  <c r="FN12" i="30"/>
  <c r="FM12" i="30"/>
  <c r="FL12" i="30"/>
  <c r="FK12" i="30"/>
  <c r="FJ12" i="30"/>
  <c r="EN12" i="30"/>
  <c r="EM12" i="30"/>
  <c r="EL12" i="30"/>
  <c r="EK12" i="30"/>
  <c r="EJ12" i="30"/>
  <c r="EI12" i="30"/>
  <c r="EH12" i="30"/>
  <c r="FP11" i="30"/>
  <c r="FO11" i="30"/>
  <c r="FN11" i="30"/>
  <c r="FM11" i="30"/>
  <c r="FL11" i="30"/>
  <c r="FK11" i="30"/>
  <c r="FJ11" i="30"/>
  <c r="EN11" i="30"/>
  <c r="EM11" i="30"/>
  <c r="EL11" i="30"/>
  <c r="EK11" i="30"/>
  <c r="EJ11" i="30"/>
  <c r="EI11" i="30"/>
  <c r="EH11" i="30"/>
  <c r="Q11" i="30"/>
  <c r="M11" i="30"/>
  <c r="FP10" i="30"/>
  <c r="FO10" i="30"/>
  <c r="FN10" i="30"/>
  <c r="FM10" i="30"/>
  <c r="FL10" i="30"/>
  <c r="FK10" i="30"/>
  <c r="FJ10" i="30"/>
  <c r="EN10" i="30"/>
  <c r="EM10" i="30"/>
  <c r="EL10" i="30"/>
  <c r="EK10" i="30"/>
  <c r="EJ10" i="30"/>
  <c r="EI10" i="30"/>
  <c r="EH10" i="30"/>
  <c r="FP9" i="30"/>
  <c r="FO9" i="30"/>
  <c r="FN9" i="30"/>
  <c r="FM9" i="30"/>
  <c r="FL9" i="30"/>
  <c r="FK9" i="30"/>
  <c r="FJ9" i="30"/>
  <c r="EN9" i="30"/>
  <c r="EM9" i="30"/>
  <c r="EL9" i="30"/>
  <c r="EK9" i="30"/>
  <c r="EJ9" i="30"/>
  <c r="EI9" i="30"/>
  <c r="EH9" i="30"/>
  <c r="FP8" i="30"/>
  <c r="FO8" i="30"/>
  <c r="FN8" i="30"/>
  <c r="FM8" i="30"/>
  <c r="FL8" i="30"/>
  <c r="FK8" i="30"/>
  <c r="FJ8" i="30"/>
  <c r="EN8" i="30"/>
  <c r="EM8" i="30"/>
  <c r="EL8" i="30"/>
  <c r="EK8" i="30"/>
  <c r="EJ8" i="30"/>
  <c r="EI8" i="30"/>
  <c r="EH8" i="30"/>
  <c r="FP7" i="30"/>
  <c r="FO7" i="30"/>
  <c r="FN7" i="30"/>
  <c r="FM7" i="30"/>
  <c r="FL7" i="30"/>
  <c r="FK7" i="30"/>
  <c r="FJ7" i="30"/>
  <c r="EN7" i="30"/>
  <c r="EM7" i="30"/>
  <c r="EL7" i="30"/>
  <c r="EK7" i="30"/>
  <c r="EJ7" i="30"/>
  <c r="EI7" i="30"/>
  <c r="EH7" i="30"/>
  <c r="FP6" i="30"/>
  <c r="FO6" i="30"/>
  <c r="FN6" i="30"/>
  <c r="FM6" i="30"/>
  <c r="FL6" i="30"/>
  <c r="FK6" i="30"/>
  <c r="FJ6" i="30"/>
  <c r="EN6" i="30"/>
  <c r="EM6" i="30"/>
  <c r="EL6" i="30"/>
  <c r="EK6" i="30"/>
  <c r="EJ6" i="30"/>
  <c r="EI6" i="30"/>
  <c r="EH6" i="30"/>
  <c r="Q6" i="30"/>
  <c r="M6" i="30"/>
  <c r="Q46" i="30" l="1" a="1"/>
  <c r="Q46" i="30" s="1"/>
  <c r="Q47" i="30" a="1"/>
  <c r="Q47" i="30" s="1"/>
  <c r="Q51" i="30" a="1"/>
  <c r="Q51" i="30" s="1"/>
  <c r="Q49" i="30" a="1"/>
  <c r="Q49" i="30" s="1"/>
  <c r="M51" i="30" a="1"/>
  <c r="M51" i="30" s="1"/>
  <c r="Q54" i="30" a="1"/>
  <c r="Q54" i="30" s="1"/>
  <c r="Q56" i="30" a="1"/>
  <c r="Q56" i="30" s="1"/>
  <c r="Q61" i="30" a="1"/>
  <c r="Q61" i="30" s="1"/>
  <c r="M40" i="30" a="1"/>
  <c r="M40" i="30" s="1"/>
  <c r="M36" i="30" a="1"/>
  <c r="M36" i="30" s="1"/>
  <c r="M37" i="30" a="1"/>
  <c r="M37" i="30" s="1"/>
  <c r="M30" i="30" a="1"/>
  <c r="M30" i="30" s="1"/>
  <c r="M56" i="30" a="1"/>
  <c r="M56" i="30" s="1"/>
  <c r="Q7" i="30" a="1"/>
  <c r="Q7" i="30" s="1"/>
  <c r="Q14" i="30" a="1"/>
  <c r="Q14" i="30" s="1"/>
  <c r="Q12" i="30" a="1"/>
  <c r="Q12" i="30" s="1"/>
  <c r="M46" i="30" a="1"/>
  <c r="M46" i="30" s="1"/>
  <c r="Q41" i="30" a="1"/>
  <c r="Q41" i="30" s="1"/>
  <c r="Q63" i="30" a="1"/>
  <c r="Q63" i="30" s="1"/>
  <c r="M44" i="30" a="1"/>
  <c r="M44" i="30" s="1"/>
  <c r="M41" i="30" a="1"/>
  <c r="M41" i="30" s="1"/>
  <c r="Q19" i="30" a="1"/>
  <c r="Q19" i="30" s="1"/>
  <c r="M33" i="30" a="1"/>
  <c r="M33" i="30" s="1"/>
  <c r="Q42" i="30" a="1"/>
  <c r="Q42" i="30" s="1"/>
  <c r="M23" i="30" a="1"/>
  <c r="M23" i="30" s="1"/>
  <c r="M9" i="30" a="1"/>
  <c r="M9" i="30" s="1"/>
  <c r="M47" i="30" a="1"/>
  <c r="M47" i="30" s="1"/>
  <c r="Q33" i="30" a="1"/>
  <c r="Q33" i="30" s="1"/>
  <c r="M12" i="30" a="1"/>
  <c r="M12" i="30" s="1"/>
  <c r="M54" i="30" a="1"/>
  <c r="M54" i="30" s="1"/>
  <c r="Q35" i="30" a="1"/>
  <c r="Q35" i="30" s="1"/>
  <c r="Q36" i="30" a="1"/>
  <c r="Q36" i="30" s="1"/>
  <c r="Q40" i="30" a="1"/>
  <c r="Q40" i="30" s="1"/>
  <c r="Q28" i="30" a="1"/>
  <c r="Q28" i="30" s="1"/>
  <c r="M19" i="30" a="1"/>
  <c r="M19" i="30" s="1"/>
  <c r="M61" i="30" a="1"/>
  <c r="M61" i="30" s="1"/>
  <c r="M58" i="30" a="1"/>
  <c r="M58" i="30" s="1"/>
  <c r="Q18" i="30" a="1"/>
  <c r="Q18" i="30" s="1"/>
  <c r="Q25" i="30" a="1"/>
  <c r="Q25" i="30" s="1"/>
  <c r="Q32" i="30" a="1"/>
  <c r="Q32" i="30" s="1"/>
  <c r="Q39" i="30" a="1"/>
  <c r="Q39" i="30" s="1"/>
  <c r="Q53" i="30" a="1"/>
  <c r="Q53" i="30" s="1"/>
  <c r="Q60" i="30" a="1"/>
  <c r="Q60" i="30" s="1"/>
  <c r="M13" i="30" a="1"/>
  <c r="M13" i="30" s="1"/>
  <c r="M20" i="30" a="1"/>
  <c r="M20" i="30" s="1"/>
  <c r="M27" i="30" a="1"/>
  <c r="M27" i="30" s="1"/>
  <c r="M34" i="30" a="1"/>
  <c r="M34" i="30" s="1"/>
  <c r="M48" i="30" a="1"/>
  <c r="M48" i="30" s="1"/>
  <c r="M55" i="30" a="1"/>
  <c r="M55" i="30" s="1"/>
  <c r="M62" i="30" a="1"/>
  <c r="M62" i="30" s="1"/>
  <c r="Q8" i="30" a="1"/>
  <c r="Q8" i="30" s="1"/>
  <c r="Q15" i="30" a="1"/>
  <c r="Q15" i="30" s="1"/>
  <c r="Q22" i="30" a="1"/>
  <c r="Q22" i="30" s="1"/>
  <c r="Q29" i="30" a="1"/>
  <c r="Q29" i="30" s="1"/>
  <c r="Q43" i="30" a="1"/>
  <c r="Q43" i="30" s="1"/>
  <c r="Q50" i="30" a="1"/>
  <c r="Q50" i="30" s="1"/>
  <c r="Q57" i="30" a="1"/>
  <c r="Q57" i="30" s="1"/>
  <c r="Q64" i="30" a="1"/>
  <c r="Q64" i="30" s="1"/>
  <c r="M10" i="30" a="1"/>
  <c r="M10" i="30" s="1"/>
  <c r="M17" i="30" a="1"/>
  <c r="M17" i="30" s="1"/>
  <c r="M24" i="30" a="1"/>
  <c r="M24" i="30" s="1"/>
  <c r="M31" i="30" a="1"/>
  <c r="M31" i="30" s="1"/>
  <c r="M38" i="30" a="1"/>
  <c r="M38" i="30" s="1"/>
  <c r="M45" i="30" a="1"/>
  <c r="M45" i="30" s="1"/>
  <c r="M52" i="30" a="1"/>
  <c r="M52" i="30" s="1"/>
  <c r="M59" i="30" a="1"/>
  <c r="M59" i="30" s="1"/>
  <c r="R26" i="30" a="1"/>
  <c r="R26" i="30" s="1"/>
  <c r="R11" i="30" a="1"/>
  <c r="R11" i="30" s="1"/>
  <c r="Q71" i="30" a="1"/>
  <c r="Q71" i="30" s="1"/>
  <c r="M28" i="30" a="1"/>
  <c r="M28" i="30" s="1"/>
  <c r="M49" i="30" a="1"/>
  <c r="M49" i="30" s="1"/>
  <c r="Q9" i="30" a="1"/>
  <c r="Q9" i="30" s="1"/>
  <c r="Q23" i="30" a="1"/>
  <c r="Q23" i="30" s="1"/>
  <c r="Q30" i="30" a="1"/>
  <c r="Q30" i="30" s="1"/>
  <c r="Q37" i="30" a="1"/>
  <c r="Q37" i="30" s="1"/>
  <c r="Q44" i="30" a="1"/>
  <c r="Q44" i="30" s="1"/>
  <c r="Q58" i="30" a="1"/>
  <c r="Q58" i="30" s="1"/>
  <c r="Q65" i="30" a="1"/>
  <c r="Q65" i="30" s="1"/>
  <c r="R16" i="30" s="1" a="1"/>
  <c r="R16" i="30" s="1"/>
  <c r="M63" i="30" a="1"/>
  <c r="M63" i="30" s="1"/>
  <c r="M18" i="30" a="1"/>
  <c r="M18" i="30" s="1"/>
  <c r="M25" i="30" a="1"/>
  <c r="M25" i="30" s="1"/>
  <c r="M32" i="30" a="1"/>
  <c r="M32" i="30" s="1"/>
  <c r="M39" i="30" a="1"/>
  <c r="M39" i="30" s="1"/>
  <c r="M53" i="30" a="1"/>
  <c r="M53" i="30" s="1"/>
  <c r="M60" i="30" a="1"/>
  <c r="M60" i="30" s="1"/>
  <c r="M35" i="30" a="1"/>
  <c r="M35" i="30" s="1"/>
  <c r="Q13" i="30" a="1"/>
  <c r="Q13" i="30" s="1"/>
  <c r="Q20" i="30" a="1"/>
  <c r="Q20" i="30" s="1"/>
  <c r="Q27" i="30" a="1"/>
  <c r="Q27" i="30" s="1"/>
  <c r="Q34" i="30" a="1"/>
  <c r="Q34" i="30" s="1"/>
  <c r="Q48" i="30" a="1"/>
  <c r="Q48" i="30" s="1"/>
  <c r="Q55" i="30" a="1"/>
  <c r="Q55" i="30" s="1"/>
  <c r="Q62" i="30" a="1"/>
  <c r="Q62" i="30" s="1"/>
  <c r="M7" i="30" a="1"/>
  <c r="M7" i="30" s="1"/>
  <c r="M42" i="30" a="1"/>
  <c r="M42" i="30" s="1"/>
  <c r="M8" i="30" a="1"/>
  <c r="M8" i="30" s="1"/>
  <c r="M15" i="30" a="1"/>
  <c r="M15" i="30" s="1"/>
  <c r="M22" i="30" a="1"/>
  <c r="M22" i="30" s="1"/>
  <c r="M29" i="30" a="1"/>
  <c r="M29" i="30" s="1"/>
  <c r="M43" i="30" a="1"/>
  <c r="M43" i="30" s="1"/>
  <c r="M50" i="30" a="1"/>
  <c r="M50" i="30" s="1"/>
  <c r="M57" i="30" a="1"/>
  <c r="M57" i="30" s="1"/>
  <c r="M64" i="30" a="1"/>
  <c r="M64" i="30" s="1"/>
  <c r="N26" i="30" a="1"/>
  <c r="N26" i="30" s="1"/>
  <c r="N6" i="30" a="1"/>
  <c r="N6" i="30" s="1"/>
  <c r="M71" i="30" a="1"/>
  <c r="M71" i="30" s="1"/>
  <c r="N21" i="30" a="1"/>
  <c r="N21" i="30" s="1"/>
  <c r="N16" i="30" a="1"/>
  <c r="N16" i="30" s="1"/>
  <c r="N11" i="30" a="1"/>
  <c r="N11" i="30" s="1"/>
  <c r="M14" i="30" a="1"/>
  <c r="M14" i="30" s="1"/>
  <c r="Q10" i="30" a="1"/>
  <c r="Q10" i="30" s="1"/>
  <c r="Q17" i="30" a="1"/>
  <c r="Q17" i="30" s="1"/>
  <c r="Q24" i="30" a="1"/>
  <c r="Q24" i="30" s="1"/>
  <c r="Q31" i="30" a="1"/>
  <c r="Q31" i="30" s="1"/>
  <c r="Q38" i="30" a="1"/>
  <c r="Q38" i="30" s="1"/>
  <c r="Q45" i="30" a="1"/>
  <c r="Q45" i="30" s="1"/>
  <c r="Q52" i="30" a="1"/>
  <c r="Q52" i="30" s="1"/>
  <c r="Q59" i="30" a="1"/>
  <c r="Q59" i="30" s="1"/>
  <c r="N51" i="30" l="1" a="1"/>
  <c r="N51" i="30" s="1"/>
  <c r="R21" i="30" a="1"/>
  <c r="R21" i="30" s="1"/>
  <c r="R6" i="30" a="1"/>
  <c r="R6" i="30" s="1"/>
  <c r="N56" i="30" a="1"/>
  <c r="N56" i="30" s="1"/>
  <c r="R51" i="30" a="1"/>
  <c r="R51" i="30" s="1"/>
  <c r="R56" i="30" a="1"/>
  <c r="R56" i="30" s="1"/>
  <c r="N36" i="30" a="1"/>
  <c r="N36" i="30" s="1"/>
  <c r="R46" i="30" a="1"/>
  <c r="R46" i="30" s="1"/>
  <c r="R41" i="30" a="1"/>
  <c r="R41" i="30" s="1"/>
  <c r="R36" i="30" a="1"/>
  <c r="R36" i="30" s="1"/>
  <c r="N46" i="30" a="1"/>
  <c r="N46" i="30" s="1"/>
  <c r="N41" i="30" a="1"/>
  <c r="N41" i="30" s="1"/>
  <c r="R59" i="30" a="1"/>
  <c r="R59" i="30" s="1"/>
  <c r="R53" i="30" a="1"/>
  <c r="R53" i="30" s="1"/>
  <c r="R15" i="30" a="1"/>
  <c r="R15" i="30" s="1"/>
  <c r="R62" i="30" a="1"/>
  <c r="R62" i="30" s="1"/>
  <c r="R61" i="30" a="1"/>
  <c r="R61" i="30" s="1"/>
  <c r="R30" i="30" a="1"/>
  <c r="R30" i="30" s="1"/>
  <c r="R7" i="30" a="1"/>
  <c r="R7" i="30" s="1"/>
  <c r="R22" i="30" a="1"/>
  <c r="R22" i="30" s="1"/>
  <c r="R8" i="30" a="1"/>
  <c r="R8" i="30" s="1"/>
  <c r="R33" i="30" a="1"/>
  <c r="R33" i="30" s="1"/>
  <c r="R12" i="30" a="1"/>
  <c r="R12" i="30" s="1"/>
  <c r="R17" i="30" a="1"/>
  <c r="R17" i="30" s="1"/>
  <c r="R64" i="30" a="1"/>
  <c r="R64" i="30" s="1"/>
  <c r="R28" i="30" a="1"/>
  <c r="R28" i="30" s="1"/>
  <c r="R48" i="30" a="1"/>
  <c r="R48" i="30" s="1"/>
  <c r="R42" i="30" a="1"/>
  <c r="R42" i="30" s="1"/>
  <c r="R31" i="30" a="1"/>
  <c r="R31" i="30" s="1"/>
  <c r="R45" i="30" a="1"/>
  <c r="R45" i="30" s="1"/>
  <c r="R14" i="30" a="1"/>
  <c r="R14" i="30" s="1"/>
  <c r="R63" i="30" a="1"/>
  <c r="R63" i="30" s="1"/>
  <c r="R25" i="30" a="1"/>
  <c r="R25" i="30" s="1"/>
  <c r="R32" i="30" a="1"/>
  <c r="R32" i="30" s="1"/>
  <c r="R40" i="30" a="1"/>
  <c r="R40" i="30" s="1"/>
  <c r="R58" i="30" a="1"/>
  <c r="R58" i="30" s="1"/>
  <c r="R49" i="30" a="1"/>
  <c r="R49" i="30" s="1"/>
  <c r="R20" i="30" a="1"/>
  <c r="R20" i="30" s="1"/>
  <c r="R35" i="30" a="1"/>
  <c r="R35" i="30" s="1"/>
  <c r="R55" i="30" a="1"/>
  <c r="R55" i="30" s="1"/>
  <c r="R57" i="30" a="1"/>
  <c r="R57" i="30" s="1"/>
  <c r="R9" i="30" a="1"/>
  <c r="R9" i="30" s="1"/>
  <c r="R39" i="30" a="1"/>
  <c r="R39" i="30" s="1"/>
  <c r="N29" i="30" a="1"/>
  <c r="N29" i="30" s="1"/>
  <c r="N33" i="30" a="1"/>
  <c r="N33" i="30" s="1"/>
  <c r="N38" i="30" a="1"/>
  <c r="N38" i="30" s="1"/>
  <c r="N17" i="30" a="1"/>
  <c r="N17" i="30" s="1"/>
  <c r="N9" i="30" a="1"/>
  <c r="N9" i="30" s="1"/>
  <c r="N27" i="30" a="1"/>
  <c r="N27" i="30" s="1"/>
  <c r="N47" i="30" a="1"/>
  <c r="N47" i="30" s="1"/>
  <c r="N55" i="30" a="1"/>
  <c r="N55" i="30" s="1"/>
  <c r="N65" i="30" a="1"/>
  <c r="N65" i="30" s="1"/>
  <c r="N32" i="30" a="1"/>
  <c r="N32" i="30" s="1"/>
  <c r="N48" i="30" a="1"/>
  <c r="N48" i="30" s="1"/>
  <c r="N14" i="30" a="1"/>
  <c r="N14" i="30" s="1"/>
  <c r="N54" i="30" a="1"/>
  <c r="N54" i="30" s="1"/>
  <c r="N45" i="30" a="1"/>
  <c r="N45" i="30" s="1"/>
  <c r="N60" i="30" a="1"/>
  <c r="N60" i="30" s="1"/>
  <c r="N31" i="30" a="1"/>
  <c r="N31" i="30" s="1"/>
  <c r="N58" i="30" a="1"/>
  <c r="N58" i="30" s="1"/>
  <c r="N62" i="30" a="1"/>
  <c r="N62" i="30" s="1"/>
  <c r="N57" i="30" a="1"/>
  <c r="N57" i="30" s="1"/>
  <c r="N30" i="30" a="1"/>
  <c r="N30" i="30" s="1"/>
  <c r="N25" i="30" a="1"/>
  <c r="N25" i="30" s="1"/>
  <c r="N28" i="30" a="1"/>
  <c r="N28" i="30" s="1"/>
  <c r="N12" i="30" a="1"/>
  <c r="N12" i="30" s="1"/>
  <c r="N34" i="30" a="1"/>
  <c r="N34" i="30" s="1"/>
  <c r="N20" i="30" a="1"/>
  <c r="N20" i="30" s="1"/>
  <c r="N22" i="30" a="1"/>
  <c r="N22" i="30" s="1"/>
  <c r="N24" i="30" a="1"/>
  <c r="N24" i="30" s="1"/>
  <c r="N64" i="30" a="1"/>
  <c r="N64" i="30" s="1"/>
  <c r="N23" i="30" a="1"/>
  <c r="N23" i="30" s="1"/>
  <c r="N15" i="30" a="1"/>
  <c r="N15" i="30" s="1"/>
  <c r="N53" i="30" a="1"/>
  <c r="N53" i="30" s="1"/>
  <c r="N35" i="30" a="1"/>
  <c r="N35" i="30" s="1"/>
  <c r="N61" i="30" a="1"/>
  <c r="N61" i="30" s="1"/>
  <c r="N8" i="30" a="1"/>
  <c r="N8" i="30" s="1"/>
  <c r="N39" i="30" a="1"/>
  <c r="N39" i="30" s="1"/>
  <c r="N52" i="30" a="1"/>
  <c r="N52" i="30" s="1"/>
  <c r="N18" i="30" a="1"/>
  <c r="N18" i="30" s="1"/>
  <c r="M72" i="30" a="1"/>
  <c r="M72" i="30" s="1"/>
  <c r="N44" i="30" a="1"/>
  <c r="N44" i="30" s="1"/>
  <c r="N63" i="30" a="1"/>
  <c r="N63" i="30" s="1"/>
  <c r="N10" i="30" a="1"/>
  <c r="N10" i="30" s="1"/>
  <c r="N49" i="30" a="1"/>
  <c r="N49" i="30" s="1"/>
  <c r="N43" i="30" a="1"/>
  <c r="N43" i="30" s="1"/>
  <c r="N7" i="30" a="1"/>
  <c r="N7" i="30" s="1"/>
  <c r="N59" i="30" a="1"/>
  <c r="N59" i="30" s="1"/>
  <c r="N40" i="30" a="1"/>
  <c r="N40" i="30" s="1"/>
  <c r="N19" i="30" a="1"/>
  <c r="N19" i="30" s="1"/>
  <c r="N42" i="30" a="1"/>
  <c r="N42" i="30" s="1"/>
  <c r="N13" i="30" a="1"/>
  <c r="N13" i="30" s="1"/>
  <c r="N37" i="30" a="1"/>
  <c r="N37" i="30" s="1"/>
  <c r="N50" i="30" a="1"/>
  <c r="N50" i="30" s="1"/>
  <c r="R71" i="30" a="1"/>
  <c r="R71" i="30" s="1"/>
  <c r="R37" i="30" a="1"/>
  <c r="R37" i="30" s="1"/>
  <c r="R10" i="30" a="1"/>
  <c r="R10" i="30" s="1"/>
  <c r="R47" i="30" a="1"/>
  <c r="R47" i="30" s="1"/>
  <c r="R52" i="30" a="1"/>
  <c r="R52" i="30" s="1"/>
  <c r="R50" i="30" a="1"/>
  <c r="R50" i="30" s="1"/>
  <c r="N71" i="30" a="1"/>
  <c r="N71" i="30" s="1"/>
  <c r="R34" i="30" a="1"/>
  <c r="R34" i="30" s="1"/>
  <c r="R23" i="30" a="1"/>
  <c r="R23" i="30" s="1"/>
  <c r="R27" i="30" a="1"/>
  <c r="R27" i="30" s="1"/>
  <c r="R13" i="30" a="1"/>
  <c r="R13" i="30" s="1"/>
  <c r="Q72" i="30" a="1"/>
  <c r="Q72" i="30" s="1"/>
  <c r="R65" i="30" a="1"/>
  <c r="R65" i="30" s="1"/>
  <c r="R43" i="30" a="1"/>
  <c r="R43" i="30" s="1"/>
  <c r="R54" i="30" a="1"/>
  <c r="R54" i="30" s="1"/>
  <c r="R38" i="30" a="1"/>
  <c r="R38" i="30" s="1"/>
  <c r="R60" i="30" a="1"/>
  <c r="R60" i="30" s="1"/>
  <c r="R18" i="30" a="1"/>
  <c r="R18" i="30" s="1"/>
  <c r="R19" i="30" a="1"/>
  <c r="R19" i="30" s="1"/>
  <c r="R29" i="30" a="1"/>
  <c r="R29" i="30" s="1"/>
  <c r="R24" i="30" a="1"/>
  <c r="R24" i="30" s="1"/>
  <c r="R44" i="30" a="1"/>
  <c r="R44" i="30" s="1"/>
  <c r="R72" i="30" l="1" a="1"/>
  <c r="R72" i="30" s="1"/>
  <c r="N72" i="30" a="1"/>
  <c r="N72" i="3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<sst xmlns="http://schemas.openxmlformats.org/spreadsheetml/2006/main" count="144" uniqueCount="76">
  <si>
    <t>Unternehmen</t>
  </si>
  <si>
    <t>Auftragnehmer 1</t>
  </si>
  <si>
    <t>Markiere UAPs mit "x".</t>
  </si>
  <si>
    <r>
      <t xml:space="preserve">Anzahl Zeichen 
</t>
    </r>
    <r>
      <rPr>
        <sz val="10"/>
        <color rgb="FFFF0000"/>
        <rFont val="Open Sans"/>
        <family val="2"/>
      </rPr>
      <t>(max. 150)</t>
    </r>
  </si>
  <si>
    <r>
      <t xml:space="preserve">AP Nr. (vorlaufend)
</t>
    </r>
    <r>
      <rPr>
        <sz val="10"/>
        <color rgb="FFFF0000"/>
        <rFont val="Open Sans"/>
        <family val="2"/>
      </rPr>
      <t>(je Projektjahr max. 10)</t>
    </r>
  </si>
  <si>
    <t>Nebenrechnungen für Gewichtungen Mitarbeiter (nicht anfassen)</t>
  </si>
  <si>
    <t>Nebenrechnungen für Gewichtungen Eigenleistung (nicht anfassen)</t>
  </si>
  <si>
    <t>Blau: Arbeitspakete (AP X) werden nicht eingereicht
Grau: Unterarbeitspakete (UAP X.X) werden eingereicht</t>
  </si>
  <si>
    <t>Projektlaufzeit in Monaten</t>
  </si>
  <si>
    <t>Projektlaufzeit als Datum</t>
  </si>
  <si>
    <t>Personalaufwand in PM
(1 PM=142h)</t>
  </si>
  <si>
    <t>Eigenleistungen in h</t>
  </si>
  <si>
    <r>
      <t xml:space="preserve">Anzahl Monate je </t>
    </r>
    <r>
      <rPr>
        <b/>
        <sz val="12"/>
        <color theme="1"/>
        <rFont val="Calibri"/>
        <family val="2"/>
        <scheme val="minor"/>
      </rPr>
      <t>AP</t>
    </r>
    <r>
      <rPr>
        <sz val="12"/>
        <color theme="1"/>
        <rFont val="Calibri"/>
        <family val="2"/>
        <scheme val="minor"/>
      </rPr>
      <t xml:space="preserve"> und Jahresscheibe</t>
    </r>
  </si>
  <si>
    <r>
      <t xml:space="preserve">Anzahl Monate je </t>
    </r>
    <r>
      <rPr>
        <b/>
        <sz val="12"/>
        <color theme="1"/>
        <rFont val="Calibri"/>
        <family val="2"/>
        <scheme val="minor"/>
      </rPr>
      <t>UAP</t>
    </r>
    <r>
      <rPr>
        <sz val="12"/>
        <color theme="1"/>
        <rFont val="Calibri"/>
        <family val="2"/>
        <scheme val="minor"/>
      </rPr>
      <t xml:space="preserve"> und Jahresscheibe</t>
    </r>
  </si>
  <si>
    <t>UAP gewichtet nach AP-Aufwand</t>
  </si>
  <si>
    <t>PROGRAMM / PHASE</t>
  </si>
  <si>
    <t>START Monat</t>
  </si>
  <si>
    <t>ENDE Monat</t>
  </si>
  <si>
    <t>START Datum</t>
  </si>
  <si>
    <t>ENDE Datum</t>
  </si>
  <si>
    <t>Gewicht</t>
  </si>
  <si>
    <t>PM</t>
  </si>
  <si>
    <t>Prozent</t>
  </si>
  <si>
    <t>h</t>
  </si>
  <si>
    <t>x</t>
  </si>
  <si>
    <t>Summe AP</t>
  </si>
  <si>
    <t>Summe UAP</t>
  </si>
  <si>
    <t>Summe der Monate in AP</t>
  </si>
  <si>
    <t>PM je Monat in APs</t>
  </si>
  <si>
    <t>PM je Monat in UAPs</t>
  </si>
  <si>
    <t>h je Monat in APs</t>
  </si>
  <si>
    <t>h je Monat in UAPs</t>
  </si>
  <si>
    <t>Kopiere Zeilen 39 bis 45 und ggf. Zeile 15 aus der admin-Tabelle als "Werte Einfügen"</t>
  </si>
  <si>
    <t>Zeile 39</t>
  </si>
  <si>
    <t>Personeller Rahmen</t>
  </si>
  <si>
    <t>Zeile 40</t>
  </si>
  <si>
    <t>MA mit Hochschulabschluss [Std.]</t>
  </si>
  <si>
    <t>Zeile 41</t>
  </si>
  <si>
    <t>MA techn. Ausbildung [Std.]</t>
  </si>
  <si>
    <t>Zeile 42</t>
  </si>
  <si>
    <t>MA mit sonstigem Abschluss [Std.]</t>
  </si>
  <si>
    <t>Zeile 43</t>
  </si>
  <si>
    <t>MA mit Hochschulabschluss [PM]</t>
  </si>
  <si>
    <t>Zeile 44</t>
  </si>
  <si>
    <t>MA techn. Ausbildung [PM]</t>
  </si>
  <si>
    <t>Zeile 45</t>
  </si>
  <si>
    <t>MA mit sonstigem Abschluss [PM]</t>
  </si>
  <si>
    <t>Summe PM</t>
  </si>
  <si>
    <t>Eigenleistungen</t>
  </si>
  <si>
    <t>Zeile 15</t>
  </si>
  <si>
    <t>Arbeitsstunden gesamt am Projekt [h]</t>
  </si>
  <si>
    <t>AP1 Systemarchitektur und Versuchsrahmen für den Funktionsprototyp durch die Projektleitung mit messbaren Zielgrenzen (Systemanalyse)</t>
  </si>
  <si>
    <t>1.1 Ableitung von Zielwerten für Erkennungsquote, Sammelrate, Kollisionsabstand, Laufzeit und Gewicht aus Nutzungsszenarien (Anforderungsanalyse)</t>
  </si>
  <si>
    <t>1.2 Abgrenzung der Forschungsfragen zu Lichtrobustheit, Mehrballaufnahme und gleichzeitiger Erfüllung von Laufzeit und Gewicht (Hypothesenbildung)</t>
  </si>
  <si>
    <t>1.3 Parametrische Modellierung der Energie-, Massen- und Rechenzeitbudgets für Sensorik, Edge-KI, Antrieb und Sammelmechanik (Systemmodellierung)</t>
  </si>
  <si>
    <t>1.4 Festlegung der Prüfstände, Hallenszenarien, Messgrößen und Freigabekriterien als reproduzierbarer Versuchsrahmen (Versuchsplanung)</t>
  </si>
  <si>
    <t>AP2 Erforschung lichtrobuster Ball- und Hinderniserkennung mit Kamera und Edge-KI durch Projektleitung und KI-Fachkraft (Modelltraining)</t>
  </si>
  <si>
    <t>2.1 Aufbau eines annotierten Bilddatensatzes mit Bällen, Personen und Gegenständen bei wechselnden Leuchten, Schatten und Blickwinkeln (Datenerhebung)</t>
  </si>
  <si>
    <t>2.2 Vergleich von Filtern, Kamerapositionen und Abstandssensoren nach Detektionsgüte, Reichweite und Leistungsbedarf (Faktorieller Versuch)</t>
  </si>
  <si>
    <t>2.3 Training, Quantisierung und Edge-Ausführung von Erkennungsmodellen mit Messung von Genauigkeit, Latenz und Energieaufnahme (Benchmarking)</t>
  </si>
  <si>
    <t>2.4 Auswahl des Sensor-KI-Verbunds oder Variantenabbruch bei fehlender Verbesserung gegenüber der Kamerareferenz in Lichtklassen (Nutzwertanalyse)</t>
  </si>
  <si>
    <t>AP3 Erforschung energiearmer Fahr-, Bahn- und Aufnahmeprinzipien durch Projektleitung und Konstrukteur am realen Prüfstand (Prototyping)</t>
  </si>
  <si>
    <t>3.1 Simulation von Zielreihenfolgen, Bahnen und Beschleunigungsprofilen unter Sensorunsicherheit, Sammeldauer und Energiegrenzen (Mehrzieloptimierung)</t>
  </si>
  <si>
    <t>3.2 Vergleich mechanischer Aufnahmevarianten für mehrere Bälle ohne Vakuum bei variierenden Anfahrwinkeln und Geschwindigkeiten (Versuchsreihe)</t>
  </si>
  <si>
    <t>3.3 Ermittlung von Sammelquote, Ballabprall, Blockaderate und Energiebedarf mittels Kraft-, Strom- und Hochgeschwindigkeitsmessung (Messanalyse)</t>
  </si>
  <si>
    <t>3.4 Auswahl des Aufnahme-Antriebs-Verbunds oder Variantenabbruch bei Ballschäden, instabiler Zuführung oder hohem Energiebedarf (Entscheidungsmatrix)</t>
  </si>
  <si>
    <t>AP4 Iterative Kopplung von Wahrnehmung, Planung, Antrieb und Mehrballaufnahme im Optimierungsprototyp durch das Entwicklungsteam (Systemintegration)</t>
  </si>
  <si>
    <t>4.2 Regelung von Zielwahl und Fahrtempo nach Detektionsunsicherheit sowie Bahnbegrenzung durch Energiebedarf und Aufnahmegeometrie (Regelungsentwurf)</t>
  </si>
  <si>
    <t>4.3 Variation von Rechenlast, Beschleunigung und Sammelstrategie mit Wirkungsanalyse zu Laufzeit, Gewicht und Sammelrate (Parameterstudie)</t>
  </si>
  <si>
    <t>AP5 Validierung des Demonstrators in wechselnden Hallenumgebungen durch die Projektleitung anhand definierter Zielgrößen (Feldversuch)</t>
  </si>
  <si>
    <t>5.1 Reproduzierbare Sammelläufe mit Ballverteilungen, Lichtwechseln, Personen und Gegenständen auf unterschiedlichen Hallenböden (Szenarioprüfung)</t>
  </si>
  <si>
    <t>5.2 Statistische Bestimmung von Erkennungsquote, Sammelrate, Kollisionsabstand und Energiebedarf über Orte und Versuchswiederholungen (Varianzanalyse)</t>
  </si>
  <si>
    <t>5.3 Belastungsprüfung von Akku, Mechanik und Edge-Verarbeitung über zweistündige Zyklen mit Fehlerklassifikation und Ursachenanalyse (Dauerversuch)</t>
  </si>
  <si>
    <t>5.4 Nachweis der Zielerreichung oder dokumentierter Abbruch bei unauflösbarem Zielkonflikt aus Laufzeit, Masse und Dynamik (Soll-Ist-Vergleich)</t>
  </si>
  <si>
    <t>4.1 Aufbau des Integrationsprototyps aus Sensorträger, Edge-Rechner, Fahrwerk, Akku und Sammelbehälter sowie Schnittstellenmessung (Funktionsprüfung)</t>
  </si>
  <si>
    <t>4.4 Bewertung des Optimierungsprototyps oder Architekturwechsel bei Verfehlung von zwei Stunden Laufzeit und zwölf Kilogramm (Grenzwertprüfung)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</si>
</sst>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d/m/yy;@"/>
    <numFmt numFmtId="165" formatCode="mm/yyyy"/>
    <numFmt numFmtId="166" formatCode="mmm"/>
    <numFmt numFmtId="167" formatCode="ddd\,\ dd/mm/yyyy"/>
    <numFmt numFmtId="168" formatCode="&quot;Projektstart:&quot;\ dd/mm/yyyy"/>
    <numFmt numFmtId="169" formatCode="0.0"/>
    <numFmt numFmtId="170" formatCode="0.0%"/>
  </numFmts>
  <fonts count="44" x14ac:knownFonts="1">
    <font>
      <sz val="10"/>
      <name val="MS Sans Serif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Open Sans"/>
      <family val="2"/>
    </font>
    <font>
      <sz val="12"/>
      <color theme="1"/>
      <name val="Open Sans"/>
      <family val="2"/>
    </font>
    <font>
      <sz val="10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1"/>
      <name val="Open Sans"/>
      <family val="2"/>
    </font>
    <font>
      <sz val="11"/>
      <color theme="0"/>
      <name val="Calibri"/>
      <family val="2"/>
      <scheme val="minor"/>
    </font>
    <font>
      <sz val="11"/>
      <color theme="0"/>
      <name val="Open Sans"/>
      <family val="2"/>
    </font>
    <font>
      <sz val="11"/>
      <name val="Open Sans"/>
      <family val="2"/>
    </font>
    <font>
      <sz val="9"/>
      <color theme="0"/>
      <name val="Calibri"/>
      <family val="2"/>
    </font>
    <font>
      <b/>
      <sz val="9"/>
      <color theme="0"/>
      <name val="Open Sans"/>
      <family val="2"/>
    </font>
    <font>
      <u/>
      <sz val="11"/>
      <color indexed="12"/>
      <name val="Arial"/>
      <family val="2"/>
    </font>
    <font>
      <b/>
      <sz val="10"/>
      <color theme="1" tint="0.14999847407452621"/>
      <name val="Open Sans"/>
      <family val="2"/>
    </font>
    <font>
      <sz val="10"/>
      <color theme="0"/>
      <name val="Open Sans"/>
      <family val="2"/>
    </font>
    <font>
      <sz val="10"/>
      <name val="Open Sans"/>
      <family val="2"/>
    </font>
    <font>
      <b/>
      <sz val="11"/>
      <name val="Open Sans"/>
      <family val="2"/>
    </font>
    <font>
      <b/>
      <sz val="22"/>
      <color theme="1" tint="0.34998626667073579"/>
      <name val="Open Sans"/>
      <family val="2"/>
    </font>
    <font>
      <sz val="10"/>
      <color theme="1" tint="0.499984740745262"/>
      <name val="Open Sans"/>
      <family val="2"/>
    </font>
    <font>
      <sz val="11"/>
      <color theme="1" tint="0.499984740745262"/>
      <name val="Open Sans"/>
      <family val="2"/>
    </font>
    <font>
      <sz val="9"/>
      <color theme="1" tint="0.499984740745262"/>
      <name val="Open Sans"/>
      <family val="2"/>
    </font>
    <font>
      <sz val="8"/>
      <color theme="1" tint="0.499984740745262"/>
      <name val="Open Sans"/>
      <family val="2"/>
    </font>
    <font>
      <sz val="10"/>
      <color rgb="FFFF0000"/>
      <name val="Open Sans"/>
      <family val="2"/>
    </font>
    <font>
      <b/>
      <sz val="11"/>
      <color theme="0"/>
      <name val="Calibri"/>
      <family val="2"/>
    </font>
    <font>
      <sz val="10"/>
      <name val="MS Sans Serif"/>
    </font>
    <font>
      <sz val="8"/>
      <color theme="0"/>
      <name val="Open Sans"/>
      <family val="2"/>
    </font>
    <font>
      <sz val="8"/>
      <color theme="1"/>
      <name val="Open Sans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4"/>
      <name val="Open Sans"/>
      <family val="2"/>
    </font>
    <font>
      <sz val="16"/>
      <name val="MS Sans Serif"/>
    </font>
    <font>
      <sz val="11"/>
      <color rgb="FF000000"/>
      <name val="Calibri"/>
      <family val="2"/>
    </font>
    <font>
      <sz val="8"/>
      <name val="MS Sans Serif"/>
    </font>
    <font>
      <b/>
      <sz val="11"/>
      <color rgb="FFFFFFFF"/>
      <name val="Calibri"/>
      <family val="2"/>
    </font>
    <font>
      <sz val="12"/>
      <color theme="0"/>
      <name val="Open Sans"/>
      <family val="2"/>
    </font>
    <font>
      <sz val="9"/>
      <color theme="0"/>
      <name val="Open Sans"/>
      <family val="2"/>
    </font>
    <font>
      <b/>
      <sz val="9"/>
      <color theme="0"/>
      <name val="Open Sans"/>
    </font>
    <font>
      <b/>
      <sz val="9"/>
      <color rgb="FFFFFFFF"/>
      <name val="Open Sans"/>
      <charset val="1"/>
    </font>
    <font>
      <sz val="9"/>
      <color theme="1"/>
      <name val="Open Sans"/>
      <family val="2"/>
    </font>
    <font>
      <b/>
      <sz val="11"/>
      <color rgb="FF08445A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8445A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8445A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595959"/>
        <bgColor rgb="FF000000"/>
      </patternFill>
    </fill>
    <fill>
      <patternFill patternType="solid">
        <fgColor rgb="FFDEF6FF"/>
        <bgColor indexed="64"/>
      </patternFill>
    </fill>
  </fills>
  <borders count="28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medium">
        <color rgb="FF08445A"/>
      </left>
      <right/>
      <top style="medium">
        <color rgb="FF08445A"/>
      </top>
      <bottom/>
      <diagonal/>
    </border>
    <border>
      <left style="medium">
        <color rgb="FF08445A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rgb="FF08445A"/>
      </right>
      <top/>
      <bottom style="thin">
        <color theme="0" tint="-0.14996795556505021"/>
      </bottom>
      <diagonal/>
    </border>
    <border>
      <left style="medium">
        <color rgb="FF08445A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rgb="FF08445A"/>
      </left>
      <right style="thin">
        <color theme="0" tint="-0.14996795556505021"/>
      </right>
      <top/>
      <bottom style="medium">
        <color rgb="FF08445A"/>
      </bottom>
      <diagonal/>
    </border>
    <border>
      <left style="thin">
        <color theme="0" tint="-0.14996795556505021"/>
      </left>
      <right style="medium">
        <color rgb="FF08445A"/>
      </right>
      <top/>
      <bottom style="medium">
        <color rgb="FF08445A"/>
      </bottom>
      <diagonal/>
    </border>
    <border>
      <left style="medium">
        <color rgb="FF08445A"/>
      </left>
      <right style="thin">
        <color theme="0" tint="-0.14996795556505021"/>
      </right>
      <top style="medium">
        <color rgb="FF08445A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rgb="FF08445A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rgb="FF08445A"/>
      </right>
      <top style="medium">
        <color rgb="FF08445A"/>
      </top>
      <bottom style="thin">
        <color theme="0" tint="-0.14996795556505021"/>
      </bottom>
      <diagonal/>
    </border>
    <border>
      <left style="medium">
        <color rgb="FF08445A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rgb="FF08445A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08445A"/>
      </left>
      <right style="thin">
        <color theme="0" tint="-0.14996795556505021"/>
      </right>
      <top style="thin">
        <color theme="0" tint="-0.14996795556505021"/>
      </top>
      <bottom style="medium">
        <color rgb="FF08445A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rgb="FF08445A"/>
      </bottom>
      <diagonal/>
    </border>
    <border>
      <left style="thin">
        <color theme="0" tint="-0.14996795556505021"/>
      </left>
      <right style="medium">
        <color rgb="FF08445A"/>
      </right>
      <top style="thin">
        <color theme="0" tint="-0.14996795556505021"/>
      </top>
      <bottom style="medium">
        <color rgb="FF08445A"/>
      </bottom>
      <diagonal/>
    </border>
    <border>
      <left style="thick">
        <color rgb="FF08445A"/>
      </left>
      <right/>
      <top/>
      <bottom/>
      <diagonal/>
    </border>
    <border>
      <left style="medium">
        <color rgb="FF08445A"/>
      </left>
      <right style="thin">
        <color theme="0" tint="-0.1499679555650502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08445A"/>
      </left>
      <right/>
      <top style="medium">
        <color indexed="64"/>
      </top>
      <bottom/>
      <diagonal/>
    </border>
  </borders>
  <cellStyleXfs count="14">
    <xf numFmtId="0" fontId="0" fillId="0" borderId="0"/>
    <xf numFmtId="0" fontId="4" fillId="0" borderId="0"/>
    <xf numFmtId="0" fontId="5" fillId="0" borderId="0"/>
    <xf numFmtId="44" fontId="5" fillId="0" borderId="0" applyFont="0" applyFill="0" applyBorder="0" applyAlignment="0" applyProtection="0"/>
    <xf numFmtId="0" fontId="6" fillId="0" borderId="0"/>
    <xf numFmtId="0" fontId="8" fillId="0" borderId="0" applyNumberFormat="0" applyFill="0" applyBorder="0" applyAlignment="0" applyProtection="0"/>
    <xf numFmtId="0" fontId="3" fillId="0" borderId="0"/>
    <xf numFmtId="0" fontId="10" fillId="0" borderId="0"/>
    <xf numFmtId="164" fontId="7" fillId="0" borderId="2" applyFill="0">
      <alignment horizontal="center" vertical="center"/>
    </xf>
    <xf numFmtId="0" fontId="7" fillId="0" borderId="2" applyFill="0">
      <alignment horizontal="left" vertical="center" indent="2"/>
    </xf>
    <xf numFmtId="0" fontId="15" fillId="0" borderId="0" applyNumberFormat="0" applyFill="0" applyBorder="0" applyAlignment="0" applyProtection="0">
      <alignment vertical="top"/>
      <protection locked="0"/>
    </xf>
    <xf numFmtId="167" fontId="7" fillId="0" borderId="4">
      <alignment horizontal="center" vertical="center"/>
    </xf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</cellStyleXfs>
  <cellXfs count="96">
    <xf numFmtId="0" fontId="0" fillId="0" borderId="0" xfId="0"/>
    <xf numFmtId="0" fontId="3" fillId="0" borderId="0" xfId="6"/>
    <xf numFmtId="0" fontId="9" fillId="0" borderId="0" xfId="6" applyFont="1"/>
    <xf numFmtId="0" fontId="9" fillId="0" borderId="0" xfId="6" applyFont="1" applyAlignment="1">
      <alignment horizontal="center"/>
    </xf>
    <xf numFmtId="0" fontId="11" fillId="0" borderId="0" xfId="7" applyFont="1"/>
    <xf numFmtId="0" fontId="11" fillId="0" borderId="0" xfId="7" applyFont="1" applyAlignment="1">
      <alignment wrapText="1"/>
    </xf>
    <xf numFmtId="165" fontId="11" fillId="2" borderId="2" xfId="6" applyNumberFormat="1" applyFont="1" applyFill="1" applyBorder="1" applyAlignment="1">
      <alignment horizontal="center" vertical="center"/>
    </xf>
    <xf numFmtId="1" fontId="11" fillId="2" borderId="2" xfId="6" applyNumberFormat="1" applyFont="1" applyFill="1" applyBorder="1" applyAlignment="1">
      <alignment horizontal="center" vertical="center"/>
    </xf>
    <xf numFmtId="0" fontId="11" fillId="2" borderId="2" xfId="6" applyFont="1" applyFill="1" applyBorder="1" applyAlignment="1" applyProtection="1">
      <alignment horizontal="left" vertical="center" indent="1"/>
      <protection locked="0"/>
    </xf>
    <xf numFmtId="166" fontId="13" fillId="3" borderId="0" xfId="6" applyNumberFormat="1" applyFont="1" applyFill="1" applyAlignment="1">
      <alignment horizontal="center" vertical="center" textRotation="90" wrapText="1"/>
    </xf>
    <xf numFmtId="0" fontId="14" fillId="3" borderId="3" xfId="6" applyFont="1" applyFill="1" applyBorder="1" applyAlignment="1">
      <alignment horizontal="center" vertical="center" wrapText="1"/>
    </xf>
    <xf numFmtId="0" fontId="14" fillId="3" borderId="3" xfId="6" applyFont="1" applyFill="1" applyBorder="1" applyAlignment="1">
      <alignment horizontal="left" vertical="center" indent="1"/>
    </xf>
    <xf numFmtId="0" fontId="3" fillId="0" borderId="0" xfId="6" applyAlignment="1">
      <alignment horizontal="center" vertical="center"/>
    </xf>
    <xf numFmtId="0" fontId="16" fillId="4" borderId="0" xfId="10" applyFont="1" applyFill="1" applyAlignment="1" applyProtection="1">
      <alignment horizontal="center" vertical="center" textRotation="90"/>
    </xf>
    <xf numFmtId="0" fontId="9" fillId="0" borderId="0" xfId="6" applyFont="1" applyAlignment="1">
      <alignment horizontal="center" vertical="center"/>
    </xf>
    <xf numFmtId="0" fontId="17" fillId="0" borderId="0" xfId="6" applyFont="1" applyAlignment="1">
      <alignment horizontal="left" vertical="top"/>
    </xf>
    <xf numFmtId="0" fontId="17" fillId="0" borderId="0" xfId="10" applyFont="1" applyAlignment="1" applyProtection="1">
      <alignment horizontal="left" vertical="top"/>
    </xf>
    <xf numFmtId="0" fontId="18" fillId="0" borderId="0" xfId="10" applyFont="1" applyProtection="1">
      <alignment vertical="top"/>
    </xf>
    <xf numFmtId="0" fontId="19" fillId="0" borderId="0" xfId="6" applyFont="1"/>
    <xf numFmtId="0" fontId="18" fillId="0" borderId="0" xfId="6" applyFont="1"/>
    <xf numFmtId="0" fontId="18" fillId="0" borderId="0" xfId="6" applyFont="1" applyAlignment="1">
      <alignment horizontal="center" vertical="center"/>
    </xf>
    <xf numFmtId="0" fontId="14" fillId="3" borderId="0" xfId="6" applyFont="1" applyFill="1" applyAlignment="1">
      <alignment horizontal="center" vertical="center" wrapText="1"/>
    </xf>
    <xf numFmtId="0" fontId="12" fillId="0" borderId="0" xfId="7" applyFont="1" applyAlignment="1">
      <alignment horizontal="center" vertical="center" wrapText="1"/>
    </xf>
    <xf numFmtId="0" fontId="11" fillId="0" borderId="1" xfId="6" applyFont="1" applyBorder="1" applyAlignment="1">
      <alignment vertical="center"/>
    </xf>
    <xf numFmtId="168" fontId="9" fillId="0" borderId="0" xfId="11" applyNumberFormat="1" applyFont="1" applyBorder="1" applyAlignment="1" applyProtection="1">
      <alignment horizontal="left" vertical="center"/>
      <protection locked="0"/>
    </xf>
    <xf numFmtId="0" fontId="9" fillId="5" borderId="2" xfId="6" applyFont="1" applyFill="1" applyBorder="1" applyAlignment="1" applyProtection="1">
      <alignment horizontal="left" vertical="center" indent="1"/>
      <protection locked="0"/>
    </xf>
    <xf numFmtId="1" fontId="9" fillId="5" borderId="2" xfId="6" applyNumberFormat="1" applyFont="1" applyFill="1" applyBorder="1" applyAlignment="1">
      <alignment horizontal="center" vertical="center"/>
    </xf>
    <xf numFmtId="165" fontId="11" fillId="5" borderId="2" xfId="6" applyNumberFormat="1" applyFont="1" applyFill="1" applyBorder="1" applyAlignment="1">
      <alignment horizontal="center" vertical="center"/>
    </xf>
    <xf numFmtId="1" fontId="11" fillId="5" borderId="2" xfId="6" applyNumberFormat="1" applyFont="1" applyFill="1" applyBorder="1" applyAlignment="1">
      <alignment horizontal="center" vertical="center"/>
    </xf>
    <xf numFmtId="0" fontId="22" fillId="0" borderId="0" xfId="7" applyFont="1" applyAlignment="1">
      <alignment wrapText="1"/>
    </xf>
    <xf numFmtId="0" fontId="22" fillId="0" borderId="0" xfId="7" applyFont="1"/>
    <xf numFmtId="0" fontId="24" fillId="0" borderId="0" xfId="7" applyFont="1" applyAlignment="1">
      <alignment wrapText="1"/>
    </xf>
    <xf numFmtId="0" fontId="26" fillId="2" borderId="6" xfId="4" applyFont="1" applyFill="1" applyBorder="1" applyAlignment="1">
      <alignment horizontal="left" vertical="center" wrapText="1"/>
    </xf>
    <xf numFmtId="0" fontId="26" fillId="2" borderId="6" xfId="4" applyFont="1" applyFill="1" applyBorder="1" applyAlignment="1">
      <alignment horizontal="center" vertical="center" wrapText="1"/>
    </xf>
    <xf numFmtId="0" fontId="7" fillId="6" borderId="7" xfId="4" applyFont="1" applyFill="1" applyBorder="1" applyAlignment="1">
      <alignment horizontal="left" vertical="center" wrapText="1"/>
    </xf>
    <xf numFmtId="4" fontId="7" fillId="6" borderId="8" xfId="4" applyNumberFormat="1" applyFont="1" applyFill="1" applyBorder="1" applyAlignment="1">
      <alignment horizontal="center" vertical="center"/>
    </xf>
    <xf numFmtId="4" fontId="7" fillId="6" borderId="9" xfId="4" applyNumberFormat="1" applyFont="1" applyFill="1" applyBorder="1" applyAlignment="1">
      <alignment horizontal="center" vertical="center"/>
    </xf>
    <xf numFmtId="0" fontId="7" fillId="6" borderId="10" xfId="4" applyFont="1" applyFill="1" applyBorder="1" applyAlignment="1">
      <alignment horizontal="left" vertical="center" wrapText="1"/>
    </xf>
    <xf numFmtId="0" fontId="7" fillId="6" borderId="11" xfId="4" applyFont="1" applyFill="1" applyBorder="1" applyAlignment="1">
      <alignment horizontal="left" vertical="center" wrapText="1"/>
    </xf>
    <xf numFmtId="4" fontId="7" fillId="6" borderId="12" xfId="4" applyNumberFormat="1" applyFont="1" applyFill="1" applyBorder="1" applyAlignment="1">
      <alignment horizontal="center" vertical="center"/>
    </xf>
    <xf numFmtId="0" fontId="7" fillId="6" borderId="13" xfId="4" applyFont="1" applyFill="1" applyBorder="1" applyAlignment="1">
      <alignment horizontal="left" vertical="center" wrapText="1"/>
    </xf>
    <xf numFmtId="4" fontId="7" fillId="6" borderId="14" xfId="4" applyNumberFormat="1" applyFont="1" applyFill="1" applyBorder="1" applyAlignment="1">
      <alignment horizontal="center" vertical="center"/>
    </xf>
    <xf numFmtId="4" fontId="7" fillId="6" borderId="15" xfId="4" applyNumberFormat="1" applyFont="1" applyFill="1" applyBorder="1" applyAlignment="1">
      <alignment horizontal="center" vertical="center"/>
    </xf>
    <xf numFmtId="0" fontId="7" fillId="6" borderId="16" xfId="4" applyFont="1" applyFill="1" applyBorder="1" applyAlignment="1">
      <alignment horizontal="left" vertical="center" wrapText="1"/>
    </xf>
    <xf numFmtId="4" fontId="7" fillId="6" borderId="17" xfId="4" applyNumberFormat="1" applyFont="1" applyFill="1" applyBorder="1" applyAlignment="1">
      <alignment horizontal="center" vertical="center"/>
    </xf>
    <xf numFmtId="4" fontId="7" fillId="6" borderId="18" xfId="4" applyNumberFormat="1" applyFont="1" applyFill="1" applyBorder="1" applyAlignment="1">
      <alignment horizontal="center" vertical="center"/>
    </xf>
    <xf numFmtId="0" fontId="7" fillId="6" borderId="19" xfId="4" applyFont="1" applyFill="1" applyBorder="1" applyAlignment="1">
      <alignment horizontal="left" vertical="center" wrapText="1"/>
    </xf>
    <xf numFmtId="4" fontId="7" fillId="6" borderId="20" xfId="4" applyNumberFormat="1" applyFont="1" applyFill="1" applyBorder="1" applyAlignment="1">
      <alignment horizontal="center" vertical="center"/>
    </xf>
    <xf numFmtId="4" fontId="7" fillId="6" borderId="21" xfId="4" applyNumberFormat="1" applyFont="1" applyFill="1" applyBorder="1" applyAlignment="1">
      <alignment horizontal="center" vertical="center"/>
    </xf>
    <xf numFmtId="0" fontId="7" fillId="7" borderId="22" xfId="4" applyFont="1" applyFill="1" applyBorder="1"/>
    <xf numFmtId="0" fontId="0" fillId="0" borderId="0" xfId="0" quotePrefix="1"/>
    <xf numFmtId="0" fontId="11" fillId="2" borderId="2" xfId="6" applyFont="1" applyFill="1" applyBorder="1" applyAlignment="1">
      <alignment horizontal="center" vertical="center"/>
    </xf>
    <xf numFmtId="0" fontId="11" fillId="5" borderId="2" xfId="6" applyFont="1" applyFill="1" applyBorder="1" applyAlignment="1">
      <alignment horizontal="center" vertical="center"/>
    </xf>
    <xf numFmtId="169" fontId="11" fillId="2" borderId="2" xfId="6" applyNumberFormat="1" applyFont="1" applyFill="1" applyBorder="1" applyAlignment="1">
      <alignment horizontal="center" vertical="center"/>
    </xf>
    <xf numFmtId="170" fontId="11" fillId="2" borderId="2" xfId="12" applyNumberFormat="1" applyFont="1" applyFill="1" applyBorder="1" applyAlignment="1">
      <alignment horizontal="center" vertical="center"/>
    </xf>
    <xf numFmtId="169" fontId="9" fillId="8" borderId="2" xfId="6" applyNumberFormat="1" applyFont="1" applyFill="1" applyBorder="1" applyAlignment="1">
      <alignment horizontal="center" vertical="center"/>
    </xf>
    <xf numFmtId="9" fontId="9" fillId="8" borderId="2" xfId="12" applyFont="1" applyFill="1" applyBorder="1" applyAlignment="1">
      <alignment horizontal="center" vertical="center"/>
    </xf>
    <xf numFmtId="169" fontId="28" fillId="2" borderId="2" xfId="6" applyNumberFormat="1" applyFont="1" applyFill="1" applyBorder="1" applyAlignment="1">
      <alignment horizontal="right" vertical="center"/>
    </xf>
    <xf numFmtId="0" fontId="29" fillId="8" borderId="0" xfId="6" applyFont="1" applyFill="1" applyAlignment="1">
      <alignment horizontal="right" vertical="center"/>
    </xf>
    <xf numFmtId="4" fontId="3" fillId="0" borderId="0" xfId="6" applyNumberFormat="1"/>
    <xf numFmtId="2" fontId="11" fillId="2" borderId="2" xfId="6" applyNumberFormat="1" applyFont="1" applyFill="1" applyBorder="1" applyAlignment="1">
      <alignment horizontal="center" vertical="center"/>
    </xf>
    <xf numFmtId="0" fontId="31" fillId="0" borderId="0" xfId="0" applyFont="1"/>
    <xf numFmtId="169" fontId="31" fillId="0" borderId="0" xfId="0" applyNumberFormat="1" applyFont="1"/>
    <xf numFmtId="2" fontId="31" fillId="0" borderId="0" xfId="0" applyNumberFormat="1" applyFont="1"/>
    <xf numFmtId="0" fontId="32" fillId="0" borderId="0" xfId="0" applyFont="1"/>
    <xf numFmtId="0" fontId="33" fillId="0" borderId="0" xfId="6" applyFont="1" applyAlignment="1">
      <alignment horizontal="left" vertical="top"/>
    </xf>
    <xf numFmtId="0" fontId="7" fillId="8" borderId="23" xfId="4" applyFont="1" applyFill="1" applyBorder="1" applyAlignment="1">
      <alignment horizontal="left" vertical="center" wrapText="1"/>
    </xf>
    <xf numFmtId="4" fontId="0" fillId="8" borderId="0" xfId="0" applyNumberFormat="1" applyFill="1"/>
    <xf numFmtId="0" fontId="0" fillId="8" borderId="0" xfId="0" applyFill="1"/>
    <xf numFmtId="0" fontId="34" fillId="8" borderId="0" xfId="0" applyFont="1" applyFill="1" applyAlignment="1">
      <alignment vertical="top"/>
    </xf>
    <xf numFmtId="0" fontId="11" fillId="2" borderId="2" xfId="6" applyFont="1" applyFill="1" applyBorder="1" applyAlignment="1" applyProtection="1">
      <alignment horizontal="left" vertical="center" wrapText="1" indent="1"/>
      <protection locked="0"/>
    </xf>
    <xf numFmtId="0" fontId="9" fillId="5" borderId="2" xfId="6" applyFont="1" applyFill="1" applyBorder="1" applyAlignment="1" applyProtection="1">
      <alignment horizontal="left" vertical="center" wrapText="1" indent="1"/>
      <protection locked="0"/>
    </xf>
    <xf numFmtId="0" fontId="35" fillId="9" borderId="24" xfId="4" applyFont="1" applyFill="1" applyBorder="1"/>
    <xf numFmtId="0" fontId="35" fillId="10" borderId="25" xfId="4" applyFont="1" applyFill="1" applyBorder="1" applyAlignment="1">
      <alignment horizontal="left" vertical="center" wrapText="1" indent="1"/>
    </xf>
    <xf numFmtId="4" fontId="35" fillId="0" borderId="26" xfId="13" applyNumberFormat="1" applyFont="1" applyFill="1" applyBorder="1" applyAlignment="1">
      <alignment horizontal="center" vertical="center"/>
    </xf>
    <xf numFmtId="0" fontId="37" fillId="11" borderId="27" xfId="4" applyFont="1" applyFill="1" applyBorder="1" applyAlignment="1">
      <alignment horizontal="center" vertical="center" wrapText="1"/>
    </xf>
    <xf numFmtId="0" fontId="38" fillId="12" borderId="0" xfId="6" applyFont="1" applyFill="1" applyAlignment="1">
      <alignment horizontal="centerContinuous" vertical="center"/>
    </xf>
    <xf numFmtId="0" fontId="40" fillId="12" borderId="0" xfId="6" applyFont="1" applyFill="1" applyAlignment="1">
      <alignment horizontal="centerContinuous" vertical="center" wrapText="1"/>
    </xf>
    <xf numFmtId="0" fontId="41" fillId="13" borderId="0" xfId="0" applyFont="1" applyFill="1" applyAlignment="1">
      <alignment horizontal="centerContinuous" vertical="center" wrapText="1"/>
    </xf>
    <xf numFmtId="0" fontId="40" fillId="12" borderId="0" xfId="6" applyFont="1" applyFill="1" applyAlignment="1">
      <alignment horizontal="left" vertical="center" wrapText="1"/>
    </xf>
    <xf numFmtId="0" fontId="39" fillId="2" borderId="0" xfId="6" applyFont="1" applyFill="1" applyAlignment="1">
      <alignment horizontal="centerContinuous" vertical="center" wrapText="1"/>
    </xf>
    <xf numFmtId="0" fontId="39" fillId="2" borderId="0" xfId="6" applyFont="1" applyFill="1" applyAlignment="1">
      <alignment horizontal="centerContinuous" vertical="center"/>
    </xf>
    <xf numFmtId="0" fontId="42" fillId="0" borderId="0" xfId="6" applyFont="1" applyAlignment="1">
      <alignment horizontal="center" vertical="center"/>
    </xf>
    <xf numFmtId="0" fontId="2" fillId="6" borderId="0" xfId="4" applyFont="1" applyFill="1" applyAlignment="1">
      <alignment horizontal="left"/>
    </xf>
    <xf numFmtId="0" fontId="2" fillId="0" borderId="0" xfId="6" applyFont="1" applyAlignment="1">
      <alignment horizontal="center" vertical="center"/>
    </xf>
    <xf numFmtId="0" fontId="2" fillId="0" borderId="0" xfId="6" applyFont="1"/>
    <xf numFmtId="0" fontId="2" fillId="6" borderId="0" xfId="4" applyFont="1" applyFill="1" applyAlignment="1">
      <alignment horizontal="left" vertical="center" wrapText="1"/>
    </xf>
    <xf numFmtId="0" fontId="43" fillId="14" borderId="6" xfId="4" applyFont="1" applyFill="1" applyBorder="1" applyAlignment="1">
      <alignment horizontal="center" vertical="center" wrapText="1"/>
    </xf>
    <xf numFmtId="0" fontId="11" fillId="12" borderId="0" xfId="6" applyFont="1" applyFill="1" applyAlignment="1">
      <alignment horizontal="center" textRotation="90"/>
    </xf>
    <xf numFmtId="0" fontId="11" fillId="12" borderId="5" xfId="6" applyFont="1" applyFill="1" applyBorder="1" applyAlignment="1">
      <alignment horizontal="center" textRotation="90"/>
    </xf>
    <xf numFmtId="0" fontId="9" fillId="0" borderId="0" xfId="6" applyFont="1" applyAlignment="1">
      <alignment horizontal="center" textRotation="90"/>
    </xf>
    <xf numFmtId="0" fontId="9" fillId="0" borderId="5" xfId="6" applyFont="1" applyBorder="1" applyAlignment="1">
      <alignment horizontal="center" textRotation="90"/>
    </xf>
    <xf numFmtId="0" fontId="21" fillId="0" borderId="0" xfId="7" applyFont="1" applyAlignment="1">
      <alignment horizontal="left" textRotation="90" wrapText="1"/>
    </xf>
    <xf numFmtId="0" fontId="23" fillId="0" borderId="0" xfId="7" applyFont="1" applyAlignment="1">
      <alignment horizontal="center" vertical="top" textRotation="90"/>
    </xf>
    <xf numFmtId="0" fontId="20" fillId="0" borderId="0" xfId="5" applyFont="1" applyAlignment="1" applyProtection="1">
      <alignment horizontal="left"/>
      <protection locked="0"/>
    </xf>
    <xf numFmtId="0" fontId="3" fillId="0" borderId="0" xfId="6" applyAlignment="1">
      <alignment horizontal="left" vertical="center" wrapText="1"/>
    </xf>
  </cellXfs>
  <cellStyles count="14">
    <cellStyle name="Currency 2" xfId="3" xr:uid="{1702EF62-DF3E-FA48-8C6A-70C5CB88A14E}"/>
    <cellStyle name="Date" xfId="8" xr:uid="{0EBA5F7F-0681-4B44-A273-95E3AD056F03}"/>
    <cellStyle name="Hyperlink 2" xfId="10" xr:uid="{DD849640-F690-944F-AC72-9F68A606A57D}"/>
    <cellStyle name="Komma" xfId="13" builtinId="3"/>
    <cellStyle name="Normal 2" xfId="1" xr:uid="{1D27C6AD-3E65-9146-B3ED-EF19373ECF5D}"/>
    <cellStyle name="Normal 3" xfId="2" xr:uid="{37161974-5113-3B49-96B7-DEEC11C80A2F}"/>
    <cellStyle name="Normal 4" xfId="4" xr:uid="{9B3D164E-C1C5-BC4D-87F6-639504067DE7}"/>
    <cellStyle name="Normal 5" xfId="6" xr:uid="{C8F1EAC0-FEA9-A84C-BBDA-3347350469AF}"/>
    <cellStyle name="Project Start" xfId="11" xr:uid="{0020A2F0-EEAE-8145-A5E3-FB0F9B06E920}"/>
    <cellStyle name="Prozent" xfId="12" builtinId="5"/>
    <cellStyle name="Standard" xfId="0" builtinId="0"/>
    <cellStyle name="Task" xfId="9" xr:uid="{F89F3CF5-C482-824B-856F-7BB348AE9215}"/>
    <cellStyle name="Überschrift" xfId="5" builtinId="15"/>
    <cellStyle name="zHiddenText" xfId="7" xr:uid="{201D10E7-4CCC-6946-9B16-145BD5FB9487}"/>
  </cellStyles>
  <dxfs count="17">
    <dxf>
      <font>
        <color rgb="FFFFFFFF"/>
      </font>
      <fill>
        <patternFill>
          <bgColor rgb="FFFFFFFF"/>
        </patternFill>
      </fill>
      <border>
        <left/>
        <right/>
        <top/>
        <bottom/>
        <vertical/>
        <horizontal/>
      </border>
    </dxf>
    <dxf>
      <fill>
        <patternFill>
          <bgColor rgb="FFDEF6FF"/>
        </patternFill>
      </fill>
    </dxf>
    <dxf>
      <font>
        <color rgb="FF757171"/>
      </font>
      <fill>
        <patternFill>
          <bgColor rgb="FFF2F2F2"/>
        </patternFill>
      </fill>
    </dxf>
    <dxf>
      <font>
        <color theme="2" tint="-0.499984740745262"/>
      </font>
      <fill>
        <patternFill>
          <bgColor theme="0" tint="-4.9989318521683403E-2"/>
        </patternFill>
      </fill>
    </dxf>
    <dxf>
      <font>
        <color rgb="FFFFFFFF"/>
      </font>
      <fill>
        <patternFill>
          <bgColor rgb="FFFFFFFF"/>
        </patternFill>
      </fill>
      <border>
        <left/>
        <right/>
        <top/>
        <bottom/>
        <vertical/>
        <horizontal/>
      </border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theme="2" tint="-9.9948118533890809E-2"/>
      </font>
      <fill>
        <patternFill>
          <bgColor theme="2" tint="-9.9948118533890809E-2"/>
        </patternFill>
      </fill>
      <border>
        <left style="thin">
          <color theme="2" tint="-9.9948118533890809E-2"/>
        </left>
        <right style="thin">
          <color theme="2" tint="-9.9948118533890809E-2"/>
        </right>
      </border>
    </dxf>
    <dxf>
      <font>
        <color rgb="FF08445A"/>
      </font>
      <fill>
        <patternFill>
          <bgColor rgb="FF08445A"/>
        </patternFill>
      </fill>
      <border>
        <left style="thin">
          <color rgb="FF08445A"/>
        </left>
        <right style="thin">
          <color rgb="FF08445A"/>
        </right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08445A"/>
        </patternFill>
      </fill>
      <border>
        <left style="thin">
          <color rgb="FF08445A"/>
        </left>
        <right style="thin">
          <color rgb="FF08445A"/>
        </right>
      </border>
    </dxf>
    <dxf>
      <font>
        <color rgb="FF08445A"/>
      </font>
      <fill>
        <patternFill>
          <bgColor theme="2" tint="-9.9948118533890809E-2"/>
        </patternFill>
      </fill>
      <border>
        <left style="thin">
          <color theme="2" tint="-9.9948118533890809E-2"/>
        </left>
        <right style="thin">
          <color theme="2" tint="-9.9948118533890809E-2"/>
        </right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vertical/>
      </border>
    </dxf>
    <dxf>
      <font>
        <b/>
        <i val="0"/>
        <color theme="0"/>
      </font>
      <fill>
        <patternFill>
          <bgColor rgb="FF08445A"/>
        </patternFill>
      </fill>
    </dxf>
    <dxf>
      <border>
        <left style="thick">
          <color rgb="FF08445A"/>
        </left>
        <right style="thick">
          <color rgb="FF08445A"/>
        </right>
        <top style="thick">
          <color rgb="FF08445A"/>
        </top>
        <bottom style="thick">
          <color rgb="FF08445A"/>
        </bottom>
      </border>
    </dxf>
  </dxfs>
  <tableStyles count="1" defaultTableStyle="TableStyleMedium2" defaultPivotStyle="PivotStyleLight16">
    <tableStyle name="Table Style 1" pivot="0" count="4" xr9:uid="{5664DD49-1580-334C-B769-E63DE4123511}">
      <tableStyleElement type="wholeTable" dxfId="16"/>
      <tableStyleElement type="headerRow" dxfId="15"/>
      <tableStyleElement type="firstRowStripe" dxfId="14"/>
      <tableStyleElement type="secondRowStripe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8445A"/>
      <color rgb="FFDEF6FF"/>
      <color rgb="FFF2F2F2"/>
      <color rgb="FFF07E2D"/>
      <color rgb="FFFFF1E7"/>
      <color rgb="FF062938"/>
      <color rgb="FFF0C9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153D-FFDB-D544-B9F8-BE2750E8EABD}">
  <sheetPr codeName="Tabelle4">
    <pageSetUpPr fitToPage="1"/>
  </sheetPr>
  <dimension ref="A1:FP94"/>
  <sheetViews>
    <sheetView tabSelected="1" topLeftCell="A2" zoomScale="113" zoomScaleNormal="160" workbookViewId="0">
      <selection activeCell="D6" sqref="D6"/>
    </sheetView>
  </sheetViews>
  <sheetFormatPr baseColWidth="10" defaultColWidth="11" defaultRowHeight="18" zeroHeight="1" outlineLevelCol="2" x14ac:dyDescent="0.5"/>
  <cols>
    <col min="1" max="1" width="4.36328125" style="4" customWidth="1"/>
    <col min="2" max="2" width="6" style="4" customWidth="1"/>
    <col min="3" max="3" width="6.1796875" style="4" customWidth="1"/>
    <col min="4" max="4" width="156.90625" style="2" bestFit="1" customWidth="1"/>
    <col min="5" max="5" width="1.81640625" style="2" customWidth="1"/>
    <col min="6" max="6" width="9" style="3" customWidth="1" outlineLevel="1"/>
    <col min="7" max="7" width="8.6328125" style="2" customWidth="1" outlineLevel="1"/>
    <col min="8" max="8" width="1.81640625" style="2" customWidth="1"/>
    <col min="9" max="9" width="10.81640625" style="2" customWidth="1" outlineLevel="1"/>
    <col min="10" max="10" width="11.1796875" style="2" customWidth="1" outlineLevel="1"/>
    <col min="11" max="11" width="1.81640625" style="2" customWidth="1"/>
    <col min="12" max="12" width="9" style="2" customWidth="1" outlineLevel="2"/>
    <col min="13" max="13" width="11" style="2" customWidth="1" outlineLevel="2"/>
    <col min="14" max="14" width="9.36328125" style="2" customWidth="1" outlineLevel="2"/>
    <col min="15" max="15" width="1.81640625" style="2" customWidth="1"/>
    <col min="16" max="16" width="9" style="2" customWidth="1" outlineLevel="1"/>
    <col min="17" max="17" width="13.36328125" style="2" customWidth="1" outlineLevel="1"/>
    <col min="18" max="18" width="9.36328125" style="2" customWidth="1" outlineLevel="1"/>
    <col min="19" max="19" width="1.81640625" style="2" customWidth="1"/>
    <col min="20" max="20" width="5.6328125" style="2" customWidth="1" outlineLevel="1"/>
    <col min="21" max="23" width="5.81640625" style="2" customWidth="1" outlineLevel="1"/>
    <col min="24" max="29" width="5.81640625" style="2" hidden="1" customWidth="1" outlineLevel="1"/>
    <col min="30" max="30" width="5.1796875" style="2" hidden="1" customWidth="1" outlineLevel="1"/>
    <col min="31" max="31" width="1.36328125" style="2" customWidth="1"/>
    <col min="32" max="33" width="3" style="2" customWidth="1"/>
    <col min="34" max="34" width="3.1796875" style="2" customWidth="1"/>
    <col min="35" max="77" width="3" style="2" customWidth="1"/>
    <col min="78" max="78" width="3.1796875" style="2" customWidth="1"/>
    <col min="79" max="115" width="3" style="2" customWidth="1"/>
    <col min="116" max="118" width="11" style="1"/>
    <col min="119" max="138" width="11" style="1" hidden="1" customWidth="1" outlineLevel="1"/>
    <col min="139" max="139" width="11.6328125" style="1" hidden="1" customWidth="1" outlineLevel="1"/>
    <col min="140" max="142" width="11" style="1" hidden="1" customWidth="1" outlineLevel="1"/>
    <col min="143" max="143" width="11.1796875" style="1" hidden="1" customWidth="1" outlineLevel="1"/>
    <col min="144" max="144" width="11" style="1" hidden="1" customWidth="1" outlineLevel="1"/>
    <col min="145" max="145" width="11" style="1" collapsed="1"/>
    <col min="146" max="146" width="11" style="1"/>
    <col min="147" max="172" width="11" style="1" customWidth="1" outlineLevel="1"/>
    <col min="173" max="16384" width="11" style="1"/>
  </cols>
  <sheetData>
    <row r="1" spans="1:172" ht="30" customHeight="1" x14ac:dyDescent="0.85">
      <c r="A1" s="5"/>
      <c r="B1" s="5"/>
      <c r="C1" s="5"/>
      <c r="D1" s="94" t="s">
        <v>0</v>
      </c>
      <c r="E1" s="94"/>
      <c r="F1" s="94"/>
      <c r="G1" s="94"/>
      <c r="H1" s="20"/>
      <c r="K1" s="20"/>
      <c r="O1" s="20"/>
      <c r="S1" s="20"/>
      <c r="T1" s="88" t="str">
        <f>D1</f>
        <v>Unternehmen</v>
      </c>
      <c r="U1" s="88" t="s">
        <v>1</v>
      </c>
      <c r="V1" s="88"/>
      <c r="W1" s="88"/>
      <c r="X1" s="90"/>
      <c r="Y1" s="90"/>
      <c r="Z1" s="90"/>
      <c r="AA1" s="90"/>
      <c r="AB1" s="90"/>
      <c r="AC1" s="90"/>
      <c r="AD1" s="90"/>
      <c r="AE1" s="19"/>
      <c r="AF1" s="18"/>
    </row>
    <row r="2" spans="1:172" ht="30" customHeight="1" x14ac:dyDescent="0.5">
      <c r="D2" s="95"/>
      <c r="E2" s="95"/>
      <c r="F2" s="95"/>
      <c r="G2" s="95"/>
      <c r="T2" s="88"/>
      <c r="U2" s="88"/>
      <c r="V2" s="88"/>
      <c r="W2" s="88"/>
      <c r="X2" s="90"/>
      <c r="Y2" s="90"/>
      <c r="Z2" s="90"/>
      <c r="AA2" s="90"/>
      <c r="AB2" s="90"/>
      <c r="AC2" s="90"/>
      <c r="AD2" s="90"/>
      <c r="AF2" s="17"/>
    </row>
    <row r="3" spans="1:172" s="15" customFormat="1" ht="30" customHeight="1" x14ac:dyDescent="0.3">
      <c r="A3" s="93" t="s">
        <v>2</v>
      </c>
      <c r="B3" s="92" t="s">
        <v>3</v>
      </c>
      <c r="C3" s="92" t="s">
        <v>4</v>
      </c>
      <c r="D3" s="24">
        <v>46024</v>
      </c>
      <c r="T3" s="88"/>
      <c r="U3" s="88"/>
      <c r="V3" s="88"/>
      <c r="W3" s="88"/>
      <c r="X3" s="90"/>
      <c r="Y3" s="90"/>
      <c r="Z3" s="90"/>
      <c r="AA3" s="90"/>
      <c r="AB3" s="90"/>
      <c r="AC3" s="90"/>
      <c r="AD3" s="90"/>
      <c r="AF3" s="16">
        <v>1</v>
      </c>
      <c r="AG3" s="15">
        <v>2</v>
      </c>
      <c r="AH3" s="16">
        <v>3</v>
      </c>
      <c r="AI3" s="15">
        <v>4</v>
      </c>
      <c r="AJ3" s="16">
        <v>5</v>
      </c>
      <c r="AK3" s="15">
        <v>6</v>
      </c>
      <c r="AL3" s="16">
        <v>7</v>
      </c>
      <c r="AM3" s="15">
        <v>8</v>
      </c>
      <c r="AN3" s="16">
        <v>9</v>
      </c>
      <c r="AO3" s="15">
        <v>10</v>
      </c>
      <c r="AP3" s="16">
        <v>11</v>
      </c>
      <c r="AQ3" s="15">
        <v>12</v>
      </c>
      <c r="AR3" s="16">
        <v>13</v>
      </c>
      <c r="AS3" s="15">
        <v>14</v>
      </c>
      <c r="AT3" s="16">
        <v>15</v>
      </c>
      <c r="AU3" s="15">
        <v>16</v>
      </c>
      <c r="AV3" s="16">
        <v>17</v>
      </c>
      <c r="AW3" s="15">
        <v>18</v>
      </c>
      <c r="AX3" s="16">
        <v>19</v>
      </c>
      <c r="AY3" s="15">
        <v>20</v>
      </c>
      <c r="AZ3" s="16">
        <v>21</v>
      </c>
      <c r="BA3" s="15">
        <v>22</v>
      </c>
      <c r="BB3" s="16">
        <v>23</v>
      </c>
      <c r="BC3" s="15">
        <v>24</v>
      </c>
      <c r="BD3" s="16">
        <v>25</v>
      </c>
      <c r="BE3" s="15">
        <v>26</v>
      </c>
      <c r="BF3" s="16">
        <v>27</v>
      </c>
      <c r="BG3" s="15">
        <v>28</v>
      </c>
      <c r="BH3" s="16">
        <v>29</v>
      </c>
      <c r="BI3" s="15">
        <v>30</v>
      </c>
      <c r="BJ3" s="16">
        <v>31</v>
      </c>
      <c r="BK3" s="15">
        <v>32</v>
      </c>
      <c r="BL3" s="16">
        <v>33</v>
      </c>
      <c r="BM3" s="15">
        <v>34</v>
      </c>
      <c r="BN3" s="16">
        <v>35</v>
      </c>
      <c r="BO3" s="15">
        <v>36</v>
      </c>
      <c r="BP3" s="16">
        <v>37</v>
      </c>
      <c r="BQ3" s="15">
        <v>38</v>
      </c>
      <c r="BR3" s="16">
        <v>39</v>
      </c>
      <c r="BS3" s="15">
        <v>40</v>
      </c>
      <c r="BT3" s="16">
        <v>41</v>
      </c>
      <c r="BU3" s="15">
        <v>42</v>
      </c>
      <c r="BV3" s="16">
        <v>43</v>
      </c>
      <c r="BW3" s="15">
        <v>44</v>
      </c>
      <c r="BX3" s="16">
        <v>45</v>
      </c>
      <c r="BY3" s="15">
        <v>46</v>
      </c>
      <c r="BZ3" s="16">
        <v>47</v>
      </c>
      <c r="CA3" s="15">
        <v>48</v>
      </c>
      <c r="CB3" s="15">
        <v>49</v>
      </c>
      <c r="CC3" s="15">
        <v>50</v>
      </c>
      <c r="CD3" s="15">
        <v>51</v>
      </c>
      <c r="CE3" s="15">
        <v>52</v>
      </c>
      <c r="CF3" s="15">
        <v>53</v>
      </c>
      <c r="CG3" s="15">
        <v>54</v>
      </c>
      <c r="CH3" s="15">
        <v>55</v>
      </c>
      <c r="CI3" s="15">
        <v>56</v>
      </c>
      <c r="CJ3" s="15">
        <v>57</v>
      </c>
      <c r="CK3" s="15">
        <v>58</v>
      </c>
      <c r="CL3" s="15">
        <v>59</v>
      </c>
      <c r="CM3" s="15">
        <v>60</v>
      </c>
      <c r="CN3" s="15">
        <v>61</v>
      </c>
      <c r="CO3" s="15">
        <v>62</v>
      </c>
      <c r="CP3" s="15">
        <v>63</v>
      </c>
      <c r="CQ3" s="15">
        <v>64</v>
      </c>
      <c r="CR3" s="15">
        <v>65</v>
      </c>
      <c r="CS3" s="15">
        <v>66</v>
      </c>
      <c r="CT3" s="15">
        <v>67</v>
      </c>
      <c r="CU3" s="15">
        <v>68</v>
      </c>
      <c r="CV3" s="15">
        <v>69</v>
      </c>
      <c r="CW3" s="15">
        <v>70</v>
      </c>
      <c r="CX3" s="15">
        <v>71</v>
      </c>
      <c r="CY3" s="15">
        <v>72</v>
      </c>
      <c r="CZ3" s="15">
        <v>73</v>
      </c>
      <c r="DA3" s="15">
        <v>74</v>
      </c>
      <c r="DB3" s="15">
        <v>75</v>
      </c>
      <c r="DC3" s="15">
        <v>76</v>
      </c>
      <c r="DD3" s="15">
        <v>77</v>
      </c>
      <c r="DE3" s="15">
        <v>78</v>
      </c>
      <c r="DF3" s="15">
        <v>79</v>
      </c>
      <c r="DG3" s="15">
        <v>80</v>
      </c>
      <c r="DH3" s="15">
        <v>81</v>
      </c>
      <c r="DI3" s="15">
        <v>82</v>
      </c>
      <c r="DJ3" s="15">
        <v>83</v>
      </c>
      <c r="DK3" s="15">
        <v>84</v>
      </c>
      <c r="DO3" s="65" t="s">
        <v>5</v>
      </c>
      <c r="EQ3" s="65" t="s">
        <v>6</v>
      </c>
    </row>
    <row r="4" spans="1:172" s="12" customFormat="1" ht="43" customHeight="1" x14ac:dyDescent="0.35">
      <c r="A4" s="93"/>
      <c r="B4" s="92"/>
      <c r="C4" s="92"/>
      <c r="D4" s="79" t="s">
        <v>7</v>
      </c>
      <c r="E4" s="14"/>
      <c r="F4" s="77" t="s">
        <v>8</v>
      </c>
      <c r="G4" s="78"/>
      <c r="H4" s="14"/>
      <c r="I4" s="77" t="s">
        <v>9</v>
      </c>
      <c r="J4" s="77"/>
      <c r="K4" s="14"/>
      <c r="L4" s="77" t="s">
        <v>10</v>
      </c>
      <c r="M4" s="76"/>
      <c r="N4" s="76"/>
      <c r="O4" s="14"/>
      <c r="P4" s="77" t="s">
        <v>11</v>
      </c>
      <c r="Q4" s="76"/>
      <c r="R4" s="76"/>
      <c r="S4" s="14"/>
      <c r="T4" s="89"/>
      <c r="U4" s="89"/>
      <c r="V4" s="89"/>
      <c r="W4" s="89"/>
      <c r="X4" s="91"/>
      <c r="Y4" s="91"/>
      <c r="Z4" s="91"/>
      <c r="AA4" s="91"/>
      <c r="AB4" s="91"/>
      <c r="AC4" s="91"/>
      <c r="AD4" s="91"/>
      <c r="AE4" s="14"/>
      <c r="AF4" s="13">
        <f t="shared" ref="AF4:BK4" si="0">YEAR(AF5)</f>
        <v>2026</v>
      </c>
      <c r="AG4" s="13">
        <f t="shared" si="0"/>
        <v>2026</v>
      </c>
      <c r="AH4" s="13">
        <f t="shared" si="0"/>
        <v>2026</v>
      </c>
      <c r="AI4" s="13">
        <f t="shared" si="0"/>
        <v>2026</v>
      </c>
      <c r="AJ4" s="13">
        <f t="shared" si="0"/>
        <v>2026</v>
      </c>
      <c r="AK4" s="13">
        <f t="shared" si="0"/>
        <v>2026</v>
      </c>
      <c r="AL4" s="13">
        <f t="shared" si="0"/>
        <v>2026</v>
      </c>
      <c r="AM4" s="13">
        <f t="shared" si="0"/>
        <v>2026</v>
      </c>
      <c r="AN4" s="13">
        <f t="shared" si="0"/>
        <v>2026</v>
      </c>
      <c r="AO4" s="13">
        <f t="shared" si="0"/>
        <v>2026</v>
      </c>
      <c r="AP4" s="13">
        <f t="shared" si="0"/>
        <v>2026</v>
      </c>
      <c r="AQ4" s="13">
        <f t="shared" si="0"/>
        <v>2026</v>
      </c>
      <c r="AR4" s="13">
        <f t="shared" si="0"/>
        <v>2027</v>
      </c>
      <c r="AS4" s="13">
        <f t="shared" si="0"/>
        <v>2027</v>
      </c>
      <c r="AT4" s="13">
        <f t="shared" si="0"/>
        <v>2027</v>
      </c>
      <c r="AU4" s="13">
        <f t="shared" si="0"/>
        <v>2027</v>
      </c>
      <c r="AV4" s="13">
        <f t="shared" si="0"/>
        <v>2027</v>
      </c>
      <c r="AW4" s="13">
        <f t="shared" si="0"/>
        <v>2027</v>
      </c>
      <c r="AX4" s="13">
        <f t="shared" si="0"/>
        <v>2027</v>
      </c>
      <c r="AY4" s="13">
        <f t="shared" si="0"/>
        <v>2027</v>
      </c>
      <c r="AZ4" s="13">
        <f t="shared" si="0"/>
        <v>2027</v>
      </c>
      <c r="BA4" s="13">
        <f t="shared" si="0"/>
        <v>2027</v>
      </c>
      <c r="BB4" s="13">
        <f t="shared" si="0"/>
        <v>2027</v>
      </c>
      <c r="BC4" s="13">
        <f t="shared" si="0"/>
        <v>2027</v>
      </c>
      <c r="BD4" s="13">
        <f t="shared" si="0"/>
        <v>2028</v>
      </c>
      <c r="BE4" s="13">
        <f t="shared" si="0"/>
        <v>2028</v>
      </c>
      <c r="BF4" s="13">
        <f t="shared" si="0"/>
        <v>2028</v>
      </c>
      <c r="BG4" s="13">
        <f t="shared" si="0"/>
        <v>2028</v>
      </c>
      <c r="BH4" s="13">
        <f t="shared" si="0"/>
        <v>2028</v>
      </c>
      <c r="BI4" s="13">
        <f t="shared" si="0"/>
        <v>2028</v>
      </c>
      <c r="BJ4" s="13">
        <f t="shared" si="0"/>
        <v>2028</v>
      </c>
      <c r="BK4" s="13">
        <f t="shared" si="0"/>
        <v>2028</v>
      </c>
      <c r="BL4" s="13">
        <f t="shared" ref="BL4:DK4" si="1">YEAR(BL5)</f>
        <v>2028</v>
      </c>
      <c r="BM4" s="13">
        <f t="shared" si="1"/>
        <v>2028</v>
      </c>
      <c r="BN4" s="13">
        <f t="shared" si="1"/>
        <v>2028</v>
      </c>
      <c r="BO4" s="13">
        <f t="shared" si="1"/>
        <v>2028</v>
      </c>
      <c r="BP4" s="13">
        <f t="shared" si="1"/>
        <v>2029</v>
      </c>
      <c r="BQ4" s="13">
        <f t="shared" si="1"/>
        <v>2029</v>
      </c>
      <c r="BR4" s="13">
        <f t="shared" si="1"/>
        <v>2029</v>
      </c>
      <c r="BS4" s="13">
        <f t="shared" si="1"/>
        <v>2029</v>
      </c>
      <c r="BT4" s="13">
        <f t="shared" si="1"/>
        <v>2029</v>
      </c>
      <c r="BU4" s="13">
        <f t="shared" si="1"/>
        <v>2029</v>
      </c>
      <c r="BV4" s="13">
        <f t="shared" si="1"/>
        <v>2029</v>
      </c>
      <c r="BW4" s="13">
        <f t="shared" si="1"/>
        <v>2029</v>
      </c>
      <c r="BX4" s="13">
        <f t="shared" si="1"/>
        <v>2029</v>
      </c>
      <c r="BY4" s="13">
        <f t="shared" si="1"/>
        <v>2029</v>
      </c>
      <c r="BZ4" s="13">
        <f t="shared" si="1"/>
        <v>2029</v>
      </c>
      <c r="CA4" s="13">
        <f t="shared" si="1"/>
        <v>2029</v>
      </c>
      <c r="CB4" s="13">
        <f t="shared" si="1"/>
        <v>2030</v>
      </c>
      <c r="CC4" s="13">
        <f t="shared" si="1"/>
        <v>2030</v>
      </c>
      <c r="CD4" s="13">
        <f t="shared" si="1"/>
        <v>2030</v>
      </c>
      <c r="CE4" s="13">
        <f t="shared" si="1"/>
        <v>2030</v>
      </c>
      <c r="CF4" s="13">
        <f t="shared" si="1"/>
        <v>2030</v>
      </c>
      <c r="CG4" s="13">
        <f t="shared" si="1"/>
        <v>2030</v>
      </c>
      <c r="CH4" s="13">
        <f t="shared" si="1"/>
        <v>2030</v>
      </c>
      <c r="CI4" s="13">
        <f t="shared" si="1"/>
        <v>2030</v>
      </c>
      <c r="CJ4" s="13">
        <f t="shared" si="1"/>
        <v>2030</v>
      </c>
      <c r="CK4" s="13">
        <f t="shared" si="1"/>
        <v>2030</v>
      </c>
      <c r="CL4" s="13">
        <f t="shared" si="1"/>
        <v>2030</v>
      </c>
      <c r="CM4" s="13">
        <f t="shared" si="1"/>
        <v>2030</v>
      </c>
      <c r="CN4" s="13">
        <f t="shared" si="1"/>
        <v>2031</v>
      </c>
      <c r="CO4" s="13">
        <f t="shared" si="1"/>
        <v>2031</v>
      </c>
      <c r="CP4" s="13">
        <f t="shared" si="1"/>
        <v>2031</v>
      </c>
      <c r="CQ4" s="13">
        <f t="shared" si="1"/>
        <v>2031</v>
      </c>
      <c r="CR4" s="13">
        <f t="shared" si="1"/>
        <v>2031</v>
      </c>
      <c r="CS4" s="13">
        <f t="shared" si="1"/>
        <v>2031</v>
      </c>
      <c r="CT4" s="13">
        <f t="shared" si="1"/>
        <v>2031</v>
      </c>
      <c r="CU4" s="13">
        <f t="shared" si="1"/>
        <v>2031</v>
      </c>
      <c r="CV4" s="13">
        <f t="shared" si="1"/>
        <v>2031</v>
      </c>
      <c r="CW4" s="13">
        <f t="shared" si="1"/>
        <v>2031</v>
      </c>
      <c r="CX4" s="13">
        <f t="shared" si="1"/>
        <v>2031</v>
      </c>
      <c r="CY4" s="13">
        <f t="shared" si="1"/>
        <v>2031</v>
      </c>
      <c r="CZ4" s="13">
        <f t="shared" si="1"/>
        <v>2032</v>
      </c>
      <c r="DA4" s="13">
        <f t="shared" si="1"/>
        <v>2032</v>
      </c>
      <c r="DB4" s="13">
        <f t="shared" si="1"/>
        <v>2032</v>
      </c>
      <c r="DC4" s="13">
        <f t="shared" si="1"/>
        <v>2032</v>
      </c>
      <c r="DD4" s="13">
        <f t="shared" si="1"/>
        <v>2032</v>
      </c>
      <c r="DE4" s="13">
        <f t="shared" si="1"/>
        <v>2032</v>
      </c>
      <c r="DF4" s="13">
        <f t="shared" si="1"/>
        <v>2032</v>
      </c>
      <c r="DG4" s="13">
        <f t="shared" si="1"/>
        <v>2032</v>
      </c>
      <c r="DH4" s="13">
        <f t="shared" si="1"/>
        <v>2032</v>
      </c>
      <c r="DI4" s="13">
        <f t="shared" si="1"/>
        <v>2032</v>
      </c>
      <c r="DJ4" s="13">
        <f t="shared" si="1"/>
        <v>2032</v>
      </c>
      <c r="DK4" s="13">
        <f t="shared" si="1"/>
        <v>2032</v>
      </c>
      <c r="DO4" s="83" t="s">
        <v>12</v>
      </c>
      <c r="DP4" s="84"/>
      <c r="DQ4" s="84"/>
      <c r="DR4" s="84"/>
      <c r="DS4" s="84"/>
      <c r="DT4" s="84"/>
      <c r="DU4" s="84"/>
      <c r="DV4" s="84"/>
      <c r="DW4" s="84"/>
      <c r="DX4" s="85" t="s">
        <v>13</v>
      </c>
      <c r="DY4" s="84"/>
      <c r="DZ4" s="84"/>
      <c r="EA4" s="84"/>
      <c r="EB4" s="84"/>
      <c r="EC4" s="84"/>
      <c r="ED4" s="84"/>
      <c r="EE4" s="84"/>
      <c r="EF4" s="84"/>
      <c r="EG4" s="85" t="s">
        <v>14</v>
      </c>
      <c r="EH4" s="84"/>
      <c r="EI4" s="84"/>
      <c r="EJ4" s="84"/>
      <c r="EK4" s="84"/>
      <c r="EL4" s="84"/>
      <c r="EM4" s="84"/>
      <c r="EN4" s="84"/>
      <c r="EO4" s="84"/>
      <c r="EQ4" s="83" t="s">
        <v>12</v>
      </c>
      <c r="ER4" s="84"/>
      <c r="ES4" s="84"/>
      <c r="ET4" s="84"/>
      <c r="EU4" s="84"/>
      <c r="EV4" s="84"/>
      <c r="EW4" s="84"/>
      <c r="EX4" s="84"/>
      <c r="EY4" s="84"/>
      <c r="EZ4" s="85" t="s">
        <v>13</v>
      </c>
      <c r="FA4" s="84"/>
      <c r="FB4" s="84"/>
      <c r="FC4" s="84"/>
      <c r="FD4" s="84"/>
      <c r="FE4" s="84"/>
      <c r="FF4" s="84"/>
      <c r="FG4" s="84"/>
      <c r="FH4" s="84"/>
      <c r="FI4" s="85" t="s">
        <v>14</v>
      </c>
      <c r="FJ4" s="84"/>
      <c r="FK4" s="84"/>
      <c r="FL4" s="84"/>
      <c r="FM4" s="84"/>
      <c r="FN4" s="84"/>
      <c r="FO4" s="84"/>
      <c r="FP4" s="84"/>
    </row>
    <row r="5" spans="1:172" ht="30" customHeight="1" thickBot="1" x14ac:dyDescent="0.55000000000000004">
      <c r="A5" s="93"/>
      <c r="B5" s="92"/>
      <c r="C5" s="92"/>
      <c r="D5" s="11" t="s">
        <v>15</v>
      </c>
      <c r="E5" s="10"/>
      <c r="F5" s="10" t="s">
        <v>16</v>
      </c>
      <c r="G5" s="10" t="s">
        <v>17</v>
      </c>
      <c r="H5" s="10"/>
      <c r="I5" s="10" t="s">
        <v>18</v>
      </c>
      <c r="J5" s="10" t="s">
        <v>19</v>
      </c>
      <c r="K5" s="10"/>
      <c r="L5" s="10" t="s">
        <v>20</v>
      </c>
      <c r="M5" s="10" t="s">
        <v>21</v>
      </c>
      <c r="N5" s="10" t="s">
        <v>22</v>
      </c>
      <c r="O5" s="10"/>
      <c r="P5" s="10" t="s">
        <v>20</v>
      </c>
      <c r="Q5" s="10" t="s">
        <v>23</v>
      </c>
      <c r="R5" s="10" t="s">
        <v>22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21"/>
      <c r="AF5" s="9">
        <f>DATE(YEAR(Project_Start),MONTH(Project_Start),1)</f>
        <v>46023</v>
      </c>
      <c r="AG5" s="9">
        <f t="shared" ref="AG5:BL5" si="2">EOMONTH(AF5,0)+1</f>
        <v>46054</v>
      </c>
      <c r="AH5" s="9">
        <f t="shared" si="2"/>
        <v>46082</v>
      </c>
      <c r="AI5" s="9">
        <f t="shared" si="2"/>
        <v>46113</v>
      </c>
      <c r="AJ5" s="9">
        <f t="shared" si="2"/>
        <v>46143</v>
      </c>
      <c r="AK5" s="9">
        <f t="shared" si="2"/>
        <v>46174</v>
      </c>
      <c r="AL5" s="9">
        <f t="shared" si="2"/>
        <v>46204</v>
      </c>
      <c r="AM5" s="9">
        <f t="shared" si="2"/>
        <v>46235</v>
      </c>
      <c r="AN5" s="9">
        <f t="shared" si="2"/>
        <v>46266</v>
      </c>
      <c r="AO5" s="9">
        <f t="shared" si="2"/>
        <v>46296</v>
      </c>
      <c r="AP5" s="9">
        <f t="shared" si="2"/>
        <v>46327</v>
      </c>
      <c r="AQ5" s="9">
        <f t="shared" si="2"/>
        <v>46357</v>
      </c>
      <c r="AR5" s="9">
        <f t="shared" si="2"/>
        <v>46388</v>
      </c>
      <c r="AS5" s="9">
        <f t="shared" si="2"/>
        <v>46419</v>
      </c>
      <c r="AT5" s="9">
        <f t="shared" si="2"/>
        <v>46447</v>
      </c>
      <c r="AU5" s="9">
        <f t="shared" si="2"/>
        <v>46478</v>
      </c>
      <c r="AV5" s="9">
        <f t="shared" si="2"/>
        <v>46508</v>
      </c>
      <c r="AW5" s="9">
        <f t="shared" si="2"/>
        <v>46539</v>
      </c>
      <c r="AX5" s="9">
        <f t="shared" si="2"/>
        <v>46569</v>
      </c>
      <c r="AY5" s="9">
        <f t="shared" si="2"/>
        <v>46600</v>
      </c>
      <c r="AZ5" s="9">
        <f t="shared" si="2"/>
        <v>46631</v>
      </c>
      <c r="BA5" s="9">
        <f t="shared" si="2"/>
        <v>46661</v>
      </c>
      <c r="BB5" s="9">
        <f t="shared" si="2"/>
        <v>46692</v>
      </c>
      <c r="BC5" s="9">
        <f t="shared" si="2"/>
        <v>46722</v>
      </c>
      <c r="BD5" s="9">
        <f t="shared" si="2"/>
        <v>46753</v>
      </c>
      <c r="BE5" s="9">
        <f t="shared" si="2"/>
        <v>46784</v>
      </c>
      <c r="BF5" s="9">
        <f t="shared" si="2"/>
        <v>46813</v>
      </c>
      <c r="BG5" s="9">
        <f t="shared" si="2"/>
        <v>46844</v>
      </c>
      <c r="BH5" s="9">
        <f t="shared" si="2"/>
        <v>46874</v>
      </c>
      <c r="BI5" s="9">
        <f t="shared" si="2"/>
        <v>46905</v>
      </c>
      <c r="BJ5" s="9">
        <f t="shared" si="2"/>
        <v>46935</v>
      </c>
      <c r="BK5" s="9">
        <f t="shared" si="2"/>
        <v>46966</v>
      </c>
      <c r="BL5" s="9">
        <f t="shared" si="2"/>
        <v>46997</v>
      </c>
      <c r="BM5" s="9">
        <f t="shared" ref="BM5:CA5" si="3">EOMONTH(BL5,0)+1</f>
        <v>47027</v>
      </c>
      <c r="BN5" s="9">
        <f t="shared" si="3"/>
        <v>47058</v>
      </c>
      <c r="BO5" s="9">
        <f t="shared" si="3"/>
        <v>47088</v>
      </c>
      <c r="BP5" s="9">
        <f t="shared" si="3"/>
        <v>47119</v>
      </c>
      <c r="BQ5" s="9">
        <f t="shared" si="3"/>
        <v>47150</v>
      </c>
      <c r="BR5" s="9">
        <f t="shared" si="3"/>
        <v>47178</v>
      </c>
      <c r="BS5" s="9">
        <f t="shared" si="3"/>
        <v>47209</v>
      </c>
      <c r="BT5" s="9">
        <f t="shared" si="3"/>
        <v>47239</v>
      </c>
      <c r="BU5" s="9">
        <f t="shared" si="3"/>
        <v>47270</v>
      </c>
      <c r="BV5" s="9">
        <f t="shared" si="3"/>
        <v>47300</v>
      </c>
      <c r="BW5" s="9">
        <f t="shared" si="3"/>
        <v>47331</v>
      </c>
      <c r="BX5" s="9">
        <f t="shared" si="3"/>
        <v>47362</v>
      </c>
      <c r="BY5" s="9">
        <f t="shared" si="3"/>
        <v>47392</v>
      </c>
      <c r="BZ5" s="9">
        <f t="shared" si="3"/>
        <v>47423</v>
      </c>
      <c r="CA5" s="9">
        <f t="shared" si="3"/>
        <v>47453</v>
      </c>
      <c r="CB5" s="9">
        <f t="shared" ref="CB5" si="4">EOMONTH(CA5,0)+1</f>
        <v>47484</v>
      </c>
      <c r="CC5" s="9">
        <f t="shared" ref="CC5" si="5">EOMONTH(CB5,0)+1</f>
        <v>47515</v>
      </c>
      <c r="CD5" s="9">
        <f t="shared" ref="CD5" si="6">EOMONTH(CC5,0)+1</f>
        <v>47543</v>
      </c>
      <c r="CE5" s="9">
        <f t="shared" ref="CE5" si="7">EOMONTH(CD5,0)+1</f>
        <v>47574</v>
      </c>
      <c r="CF5" s="9">
        <f t="shared" ref="CF5" si="8">EOMONTH(CE5,0)+1</f>
        <v>47604</v>
      </c>
      <c r="CG5" s="9">
        <f t="shared" ref="CG5" si="9">EOMONTH(CF5,0)+1</f>
        <v>47635</v>
      </c>
      <c r="CH5" s="9">
        <f t="shared" ref="CH5" si="10">EOMONTH(CG5,0)+1</f>
        <v>47665</v>
      </c>
      <c r="CI5" s="9">
        <f t="shared" ref="CI5" si="11">EOMONTH(CH5,0)+1</f>
        <v>47696</v>
      </c>
      <c r="CJ5" s="9">
        <f t="shared" ref="CJ5" si="12">EOMONTH(CI5,0)+1</f>
        <v>47727</v>
      </c>
      <c r="CK5" s="9">
        <f t="shared" ref="CK5" si="13">EOMONTH(CJ5,0)+1</f>
        <v>47757</v>
      </c>
      <c r="CL5" s="9">
        <f t="shared" ref="CL5" si="14">EOMONTH(CK5,0)+1</f>
        <v>47788</v>
      </c>
      <c r="CM5" s="9">
        <f t="shared" ref="CM5" si="15">EOMONTH(CL5,0)+1</f>
        <v>47818</v>
      </c>
      <c r="CN5" s="9">
        <f t="shared" ref="CN5" si="16">EOMONTH(CM5,0)+1</f>
        <v>47849</v>
      </c>
      <c r="CO5" s="9">
        <f t="shared" ref="CO5" si="17">EOMONTH(CN5,0)+1</f>
        <v>47880</v>
      </c>
      <c r="CP5" s="9">
        <f t="shared" ref="CP5" si="18">EOMONTH(CO5,0)+1</f>
        <v>47908</v>
      </c>
      <c r="CQ5" s="9">
        <f t="shared" ref="CQ5" si="19">EOMONTH(CP5,0)+1</f>
        <v>47939</v>
      </c>
      <c r="CR5" s="9">
        <f t="shared" ref="CR5" si="20">EOMONTH(CQ5,0)+1</f>
        <v>47969</v>
      </c>
      <c r="CS5" s="9">
        <f t="shared" ref="CS5" si="21">EOMONTH(CR5,0)+1</f>
        <v>48000</v>
      </c>
      <c r="CT5" s="9">
        <f t="shared" ref="CT5" si="22">EOMONTH(CS5,0)+1</f>
        <v>48030</v>
      </c>
      <c r="CU5" s="9">
        <f t="shared" ref="CU5" si="23">EOMONTH(CT5,0)+1</f>
        <v>48061</v>
      </c>
      <c r="CV5" s="9">
        <f t="shared" ref="CV5" si="24">EOMONTH(CU5,0)+1</f>
        <v>48092</v>
      </c>
      <c r="CW5" s="9">
        <f t="shared" ref="CW5" si="25">EOMONTH(CV5,0)+1</f>
        <v>48122</v>
      </c>
      <c r="CX5" s="9">
        <f t="shared" ref="CX5" si="26">EOMONTH(CW5,0)+1</f>
        <v>48153</v>
      </c>
      <c r="CY5" s="9">
        <f t="shared" ref="CY5" si="27">EOMONTH(CX5,0)+1</f>
        <v>48183</v>
      </c>
      <c r="CZ5" s="9">
        <f t="shared" ref="CZ5" si="28">EOMONTH(CY5,0)+1</f>
        <v>48214</v>
      </c>
      <c r="DA5" s="9">
        <f t="shared" ref="DA5" si="29">EOMONTH(CZ5,0)+1</f>
        <v>48245</v>
      </c>
      <c r="DB5" s="9">
        <f t="shared" ref="DB5" si="30">EOMONTH(DA5,0)+1</f>
        <v>48274</v>
      </c>
      <c r="DC5" s="9">
        <f t="shared" ref="DC5" si="31">EOMONTH(DB5,0)+1</f>
        <v>48305</v>
      </c>
      <c r="DD5" s="9">
        <f t="shared" ref="DD5" si="32">EOMONTH(DC5,0)+1</f>
        <v>48335</v>
      </c>
      <c r="DE5" s="9">
        <f t="shared" ref="DE5" si="33">EOMONTH(DD5,0)+1</f>
        <v>48366</v>
      </c>
      <c r="DF5" s="9">
        <f t="shared" ref="DF5" si="34">EOMONTH(DE5,0)+1</f>
        <v>48396</v>
      </c>
      <c r="DG5" s="9">
        <f t="shared" ref="DG5" si="35">EOMONTH(DF5,0)+1</f>
        <v>48427</v>
      </c>
      <c r="DH5" s="9">
        <f t="shared" ref="DH5" si="36">EOMONTH(DG5,0)+1</f>
        <v>48458</v>
      </c>
      <c r="DI5" s="9">
        <f t="shared" ref="DI5" si="37">EOMONTH(DH5,0)+1</f>
        <v>48488</v>
      </c>
      <c r="DJ5" s="9">
        <f t="shared" ref="DJ5" si="38">EOMONTH(DI5,0)+1</f>
        <v>48519</v>
      </c>
      <c r="DK5" s="9">
        <f t="shared" ref="DK5" si="39">EOMONTH(DJ5,0)+1</f>
        <v>48549</v>
      </c>
      <c r="DO5" s="85"/>
      <c r="DP5" s="61">
        <f>Jahresscheiben!C$2</f>
        <v>2026</v>
      </c>
      <c r="DQ5" s="61">
        <f>Jahresscheiben!D$2</f>
        <v>2027</v>
      </c>
      <c r="DR5" s="61">
        <f>Jahresscheiben!E$2</f>
        <v>2028</v>
      </c>
      <c r="DS5" s="61">
        <f>Jahresscheiben!F$2</f>
        <v>2029</v>
      </c>
      <c r="DT5" s="61">
        <f>Jahresscheiben!G$2</f>
        <v>2030</v>
      </c>
      <c r="DU5" s="61">
        <f>Jahresscheiben!H$2</f>
        <v>2031</v>
      </c>
      <c r="DV5" s="61">
        <f>Jahresscheiben!I$2</f>
        <v>2032</v>
      </c>
      <c r="DW5" s="85"/>
      <c r="DX5" s="85"/>
      <c r="DY5" s="85">
        <f>Jahresscheiben!C$2</f>
        <v>2026</v>
      </c>
      <c r="DZ5" s="85">
        <f>Jahresscheiben!D$2</f>
        <v>2027</v>
      </c>
      <c r="EA5" s="85">
        <f>Jahresscheiben!E$2</f>
        <v>2028</v>
      </c>
      <c r="EB5" s="85">
        <f>Jahresscheiben!F$2</f>
        <v>2029</v>
      </c>
      <c r="EC5" s="85">
        <f>Jahresscheiben!G$2</f>
        <v>2030</v>
      </c>
      <c r="ED5" s="85">
        <f>Jahresscheiben!H$2</f>
        <v>2031</v>
      </c>
      <c r="EE5" s="85">
        <f>Jahresscheiben!I$2</f>
        <v>2032</v>
      </c>
      <c r="EF5" s="85"/>
      <c r="EG5" s="85"/>
      <c r="EH5" s="85">
        <f>Jahresscheiben!C$2</f>
        <v>2026</v>
      </c>
      <c r="EI5" s="85">
        <f>Jahresscheiben!D$2</f>
        <v>2027</v>
      </c>
      <c r="EJ5" s="85">
        <f>Jahresscheiben!E$2</f>
        <v>2028</v>
      </c>
      <c r="EK5" s="85">
        <f>Jahresscheiben!F$2</f>
        <v>2029</v>
      </c>
      <c r="EL5" s="85">
        <f>Jahresscheiben!G$2</f>
        <v>2030</v>
      </c>
      <c r="EM5" s="85">
        <f>Jahresscheiben!H$2</f>
        <v>2031</v>
      </c>
      <c r="EN5" s="85">
        <f>Jahresscheiben!I$2</f>
        <v>2032</v>
      </c>
      <c r="EO5" s="85"/>
      <c r="EQ5" s="85"/>
      <c r="ER5" s="61">
        <f>Jahresscheiben!C$2</f>
        <v>2026</v>
      </c>
      <c r="ES5" s="61">
        <f>Jahresscheiben!D$2</f>
        <v>2027</v>
      </c>
      <c r="ET5" s="61">
        <f>Jahresscheiben!E$2</f>
        <v>2028</v>
      </c>
      <c r="EU5" s="61">
        <f>Jahresscheiben!F$2</f>
        <v>2029</v>
      </c>
      <c r="EV5" s="61">
        <f>Jahresscheiben!G$2</f>
        <v>2030</v>
      </c>
      <c r="EW5" s="61">
        <f>Jahresscheiben!H$2</f>
        <v>2031</v>
      </c>
      <c r="EX5" s="61">
        <f>Jahresscheiben!I$2</f>
        <v>2032</v>
      </c>
      <c r="EY5" s="85"/>
      <c r="EZ5" s="85"/>
      <c r="FA5" s="61">
        <f>Jahresscheiben!C$2</f>
        <v>2026</v>
      </c>
      <c r="FB5" s="61">
        <f>Jahresscheiben!D$2</f>
        <v>2027</v>
      </c>
      <c r="FC5" s="61">
        <f>Jahresscheiben!E$2</f>
        <v>2028</v>
      </c>
      <c r="FD5" s="61">
        <f>Jahresscheiben!F$2</f>
        <v>2029</v>
      </c>
      <c r="FE5" s="61">
        <f>Jahresscheiben!G$2</f>
        <v>2030</v>
      </c>
      <c r="FF5" s="61">
        <f>Jahresscheiben!H$2</f>
        <v>2031</v>
      </c>
      <c r="FG5" s="61">
        <f>Jahresscheiben!I$2</f>
        <v>2032</v>
      </c>
      <c r="FH5" s="85"/>
      <c r="FI5" s="85"/>
      <c r="FJ5" s="85">
        <f>Jahresscheiben!C$2</f>
        <v>2026</v>
      </c>
      <c r="FK5" s="85">
        <f>Jahresscheiben!D$2</f>
        <v>2027</v>
      </c>
      <c r="FL5" s="85">
        <f>Jahresscheiben!E$2</f>
        <v>2028</v>
      </c>
      <c r="FM5" s="85">
        <f>Jahresscheiben!F$2</f>
        <v>2029</v>
      </c>
      <c r="FN5" s="85">
        <f>Jahresscheiben!G$2</f>
        <v>2030</v>
      </c>
      <c r="FO5" s="85">
        <f>Jahresscheiben!H$2</f>
        <v>2031</v>
      </c>
      <c r="FP5" s="85">
        <f>Jahresscheiben!I$2</f>
        <v>2032</v>
      </c>
    </row>
    <row r="6" spans="1:172" ht="17" customHeight="1" thickBot="1" x14ac:dyDescent="0.55000000000000004">
      <c r="A6" s="29"/>
      <c r="B6" s="31">
        <f>LEN(D6)</f>
        <v>133</v>
      </c>
      <c r="C6" s="22">
        <f>ROW()-5</f>
        <v>1</v>
      </c>
      <c r="D6" s="71" t="s">
        <v>51</v>
      </c>
      <c r="E6" s="7"/>
      <c r="F6" s="7">
        <v>1</v>
      </c>
      <c r="G6" s="7">
        <v>5</v>
      </c>
      <c r="H6" s="7"/>
      <c r="I6" s="6">
        <f t="shared" ref="I6:I65" si="40">IF(F6=0,"",EOMONTH(Project_Start,F6-1))</f>
        <v>46053</v>
      </c>
      <c r="J6" s="6">
        <f t="shared" ref="J6:J65" si="41">IF(G6=0,"",EOMONTH(Project_Start,G6-1))</f>
        <v>46173</v>
      </c>
      <c r="K6" s="7"/>
      <c r="L6" s="53">
        <v>5</v>
      </c>
      <c r="M6" s="60" cm="1">
        <f t="array" ref="M6" xml:space="preserve">
_xlfn.LET(
_xlpm.Z, _xlfn._xlws.FILTER($DY$6:$EE$65,$DX$6:$DX$65=C6),
_xlpm.Q,_xlfn._xlws.FILTER($DP$6:$DV$65,$DO$6:$DO$65=C6),
IF($A6="x",SUMPRODUCT(_xlpm.Z,$DY$73:$EE$73,EH6:EN6),SUMPRODUCT(_xlpm.Q,$DP$73:$DV$73)))</f>
        <v>0</v>
      </c>
      <c r="N6" s="54" t="str" cm="1">
        <f t="array" ref="N6" xml:space="preserve">
_xlfn.LET(
_xlpm.Z, SUM(IF($A6="x",_xlfn._xlws.FILTER($M$6:$M$65,$A$6:$A$65="x"),_xlfn._xlws.FILTER($M$6:$M$65,$A$6:$A$65&lt;&gt;"x"))),
IF(_xlpm.Z&lt;&gt;0,M6/_xlpm.Z,""))</f>
        <v/>
      </c>
      <c r="O6" s="7"/>
      <c r="P6" s="53">
        <f>L6</f>
        <v>5</v>
      </c>
      <c r="Q6" s="60" cm="1">
        <f t="array" ref="Q6" xml:space="preserve">
_xlfn.LET(
_xlpm.Z, _xlfn._xlws.FILTER($FA$6:$FG$65,$EZ$6:$EZ$65=C6),
_xlpm.Q,_xlfn._xlws.FILTER($ER$6:$EX$65,$EQ$6:$EQ$65=C6),
IF($A6="x",SUMPRODUCT(_xlpm.Z,$FA$73:$FG$73,FJ6:FP6),SUMPRODUCT(_xlpm.Q,$ER$73:$EX$73)))</f>
        <v>0</v>
      </c>
      <c r="R6" s="54" t="str" cm="1">
        <f t="array" ref="R6" xml:space="preserve">
_xlfn.LET(
_xlpm.Z, SUM(IF($A6="x",_xlfn._xlws.FILTER($Q$6:$Q$65,$A$6:$A$65="x"),_xlfn._xlws.FILTER($Q$6:$Q$65,$A$6:$A$65&lt;&gt;"x"))),
IF(_xlpm.Z&lt;&gt;0,Q6/_xlpm.Z,""))</f>
        <v/>
      </c>
      <c r="S6" s="7"/>
      <c r="T6" s="51"/>
      <c r="U6" s="51"/>
      <c r="V6" s="51"/>
      <c r="W6" s="51"/>
      <c r="X6" s="51"/>
      <c r="Y6" s="6"/>
      <c r="Z6" s="6"/>
      <c r="AA6" s="6"/>
      <c r="AB6" s="6"/>
      <c r="AC6" s="6"/>
      <c r="AD6" s="7"/>
      <c r="AE6" s="7"/>
      <c r="AF6" s="23">
        <f t="shared" ref="AF6:AO15" si="42">_xlfn.LET(
_xlpm.project_monat,AF$3,
_xlpm.start_monat,$F6,
_xlpm.ende_monat,$G6,
IF(AND(_xlpm.project_monat&gt;=_xlpm.start_monat,_xlpm.project_monat&lt;=_xlpm.ende_monat),IF($A6="x",2,1),""))</f>
        <v>1</v>
      </c>
      <c r="AG6" s="23">
        <f t="shared" si="42"/>
        <v>1</v>
      </c>
      <c r="AH6" s="23">
        <f t="shared" si="42"/>
        <v>1</v>
      </c>
      <c r="AI6" s="23">
        <f t="shared" si="42"/>
        <v>1</v>
      </c>
      <c r="AJ6" s="23">
        <f t="shared" si="42"/>
        <v>1</v>
      </c>
      <c r="AK6" s="23" t="str">
        <f t="shared" si="42"/>
        <v/>
      </c>
      <c r="AL6" s="23" t="str">
        <f t="shared" si="42"/>
        <v/>
      </c>
      <c r="AM6" s="23" t="str">
        <f t="shared" si="42"/>
        <v/>
      </c>
      <c r="AN6" s="23" t="str">
        <f t="shared" si="42"/>
        <v/>
      </c>
      <c r="AO6" s="23" t="str">
        <f t="shared" si="42"/>
        <v/>
      </c>
      <c r="AP6" s="23" t="str">
        <f t="shared" ref="AP6:AY15" si="43">_xlfn.LET(
_xlpm.project_monat,AP$3,
_xlpm.start_monat,$F6,
_xlpm.ende_monat,$G6,
IF(AND(_xlpm.project_monat&gt;=_xlpm.start_monat,_xlpm.project_monat&lt;=_xlpm.ende_monat),IF($A6="x",2,1),""))</f>
        <v/>
      </c>
      <c r="AQ6" s="23" t="str">
        <f t="shared" si="43"/>
        <v/>
      </c>
      <c r="AR6" s="23" t="str">
        <f t="shared" si="43"/>
        <v/>
      </c>
      <c r="AS6" s="23" t="str">
        <f t="shared" si="43"/>
        <v/>
      </c>
      <c r="AT6" s="23" t="str">
        <f t="shared" si="43"/>
        <v/>
      </c>
      <c r="AU6" s="23" t="str">
        <f t="shared" si="43"/>
        <v/>
      </c>
      <c r="AV6" s="23" t="str">
        <f t="shared" si="43"/>
        <v/>
      </c>
      <c r="AW6" s="23" t="str">
        <f t="shared" si="43"/>
        <v/>
      </c>
      <c r="AX6" s="23" t="str">
        <f t="shared" si="43"/>
        <v/>
      </c>
      <c r="AY6" s="23" t="str">
        <f t="shared" si="43"/>
        <v/>
      </c>
      <c r="AZ6" s="23" t="str">
        <f t="shared" ref="AZ6:BI15" si="44">_xlfn.LET(
_xlpm.project_monat,AZ$3,
_xlpm.start_monat,$F6,
_xlpm.ende_monat,$G6,
IF(AND(_xlpm.project_monat&gt;=_xlpm.start_monat,_xlpm.project_monat&lt;=_xlpm.ende_monat),IF($A6="x",2,1),""))</f>
        <v/>
      </c>
      <c r="BA6" s="23" t="str">
        <f t="shared" si="44"/>
        <v/>
      </c>
      <c r="BB6" s="23" t="str">
        <f t="shared" si="44"/>
        <v/>
      </c>
      <c r="BC6" s="23" t="str">
        <f t="shared" si="44"/>
        <v/>
      </c>
      <c r="BD6" s="23" t="str">
        <f t="shared" si="44"/>
        <v/>
      </c>
      <c r="BE6" s="23" t="str">
        <f t="shared" si="44"/>
        <v/>
      </c>
      <c r="BF6" s="23" t="str">
        <f t="shared" si="44"/>
        <v/>
      </c>
      <c r="BG6" s="23" t="str">
        <f t="shared" si="44"/>
        <v/>
      </c>
      <c r="BH6" s="23" t="str">
        <f t="shared" si="44"/>
        <v/>
      </c>
      <c r="BI6" s="23" t="str">
        <f t="shared" si="44"/>
        <v/>
      </c>
      <c r="BJ6" s="23" t="str">
        <f t="shared" ref="BJ6:BS15" si="45">_xlfn.LET(
_xlpm.project_monat,BJ$3,
_xlpm.start_monat,$F6,
_xlpm.ende_monat,$G6,
IF(AND(_xlpm.project_monat&gt;=_xlpm.start_monat,_xlpm.project_monat&lt;=_xlpm.ende_monat),IF($A6="x",2,1),""))</f>
        <v/>
      </c>
      <c r="BK6" s="23" t="str">
        <f t="shared" si="45"/>
        <v/>
      </c>
      <c r="BL6" s="23" t="str">
        <f t="shared" si="45"/>
        <v/>
      </c>
      <c r="BM6" s="23" t="str">
        <f t="shared" si="45"/>
        <v/>
      </c>
      <c r="BN6" s="23" t="str">
        <f t="shared" si="45"/>
        <v/>
      </c>
      <c r="BO6" s="23" t="str">
        <f t="shared" si="45"/>
        <v/>
      </c>
      <c r="BP6" s="23" t="str">
        <f t="shared" si="45"/>
        <v/>
      </c>
      <c r="BQ6" s="23" t="str">
        <f t="shared" si="45"/>
        <v/>
      </c>
      <c r="BR6" s="23" t="str">
        <f t="shared" si="45"/>
        <v/>
      </c>
      <c r="BS6" s="23" t="str">
        <f t="shared" si="45"/>
        <v/>
      </c>
      <c r="BT6" s="23" t="str">
        <f t="shared" ref="BT6:CC15" si="46">_xlfn.LET(
_xlpm.project_monat,BT$3,
_xlpm.start_monat,$F6,
_xlpm.ende_monat,$G6,
IF(AND(_xlpm.project_monat&gt;=_xlpm.start_monat,_xlpm.project_monat&lt;=_xlpm.ende_monat),IF($A6="x",2,1),""))</f>
        <v/>
      </c>
      <c r="BU6" s="23" t="str">
        <f t="shared" si="46"/>
        <v/>
      </c>
      <c r="BV6" s="23" t="str">
        <f t="shared" si="46"/>
        <v/>
      </c>
      <c r="BW6" s="23" t="str">
        <f t="shared" si="46"/>
        <v/>
      </c>
      <c r="BX6" s="23" t="str">
        <f t="shared" si="46"/>
        <v/>
      </c>
      <c r="BY6" s="23" t="str">
        <f t="shared" si="46"/>
        <v/>
      </c>
      <c r="BZ6" s="23" t="str">
        <f t="shared" si="46"/>
        <v/>
      </c>
      <c r="CA6" s="23" t="str">
        <f t="shared" si="46"/>
        <v/>
      </c>
      <c r="CB6" s="23" t="str">
        <f t="shared" si="46"/>
        <v/>
      </c>
      <c r="CC6" s="23" t="str">
        <f t="shared" si="46"/>
        <v/>
      </c>
      <c r="CD6" s="23" t="str">
        <f t="shared" ref="CD6:CM15" si="47">_xlfn.LET(
_xlpm.project_monat,CD$3,
_xlpm.start_monat,$F6,
_xlpm.ende_monat,$G6,
IF(AND(_xlpm.project_monat&gt;=_xlpm.start_monat,_xlpm.project_monat&lt;=_xlpm.ende_monat),IF($A6="x",2,1),""))</f>
        <v/>
      </c>
      <c r="CE6" s="23" t="str">
        <f t="shared" si="47"/>
        <v/>
      </c>
      <c r="CF6" s="23" t="str">
        <f t="shared" si="47"/>
        <v/>
      </c>
      <c r="CG6" s="23" t="str">
        <f t="shared" si="47"/>
        <v/>
      </c>
      <c r="CH6" s="23" t="str">
        <f t="shared" si="47"/>
        <v/>
      </c>
      <c r="CI6" s="23" t="str">
        <f t="shared" si="47"/>
        <v/>
      </c>
      <c r="CJ6" s="23" t="str">
        <f t="shared" si="47"/>
        <v/>
      </c>
      <c r="CK6" s="23" t="str">
        <f t="shared" si="47"/>
        <v/>
      </c>
      <c r="CL6" s="23" t="str">
        <f t="shared" si="47"/>
        <v/>
      </c>
      <c r="CM6" s="23" t="str">
        <f t="shared" si="47"/>
        <v/>
      </c>
      <c r="CN6" s="23" t="str">
        <f t="shared" ref="CN6:CW15" si="48">_xlfn.LET(
_xlpm.project_monat,CN$3,
_xlpm.start_monat,$F6,
_xlpm.ende_monat,$G6,
IF(AND(_xlpm.project_monat&gt;=_xlpm.start_monat,_xlpm.project_monat&lt;=_xlpm.ende_monat),IF($A6="x",2,1),""))</f>
        <v/>
      </c>
      <c r="CO6" s="23" t="str">
        <f t="shared" si="48"/>
        <v/>
      </c>
      <c r="CP6" s="23" t="str">
        <f t="shared" si="48"/>
        <v/>
      </c>
      <c r="CQ6" s="23" t="str">
        <f t="shared" si="48"/>
        <v/>
      </c>
      <c r="CR6" s="23" t="str">
        <f t="shared" si="48"/>
        <v/>
      </c>
      <c r="CS6" s="23" t="str">
        <f t="shared" si="48"/>
        <v/>
      </c>
      <c r="CT6" s="23" t="str">
        <f t="shared" si="48"/>
        <v/>
      </c>
      <c r="CU6" s="23" t="str">
        <f t="shared" si="48"/>
        <v/>
      </c>
      <c r="CV6" s="23" t="str">
        <f t="shared" si="48"/>
        <v/>
      </c>
      <c r="CW6" s="23" t="str">
        <f t="shared" si="48"/>
        <v/>
      </c>
      <c r="CX6" s="23" t="str">
        <f t="shared" ref="CX6:DK15" si="49">_xlfn.LET(
_xlpm.project_monat,CX$3,
_xlpm.start_monat,$F6,
_xlpm.ende_monat,$G6,
IF(AND(_xlpm.project_monat&gt;=_xlpm.start_monat,_xlpm.project_monat&lt;=_xlpm.ende_monat),IF($A6="x",2,1),""))</f>
        <v/>
      </c>
      <c r="CY6" s="23" t="str">
        <f t="shared" si="49"/>
        <v/>
      </c>
      <c r="CZ6" s="23" t="str">
        <f t="shared" si="49"/>
        <v/>
      </c>
      <c r="DA6" s="23" t="str">
        <f t="shared" si="49"/>
        <v/>
      </c>
      <c r="DB6" s="23" t="str">
        <f t="shared" si="49"/>
        <v/>
      </c>
      <c r="DC6" s="23" t="str">
        <f t="shared" si="49"/>
        <v/>
      </c>
      <c r="DD6" s="23" t="str">
        <f t="shared" si="49"/>
        <v/>
      </c>
      <c r="DE6" s="23" t="str">
        <f t="shared" si="49"/>
        <v/>
      </c>
      <c r="DF6" s="23" t="str">
        <f t="shared" si="49"/>
        <v/>
      </c>
      <c r="DG6" s="23" t="str">
        <f t="shared" si="49"/>
        <v/>
      </c>
      <c r="DH6" s="23" t="str">
        <f t="shared" si="49"/>
        <v/>
      </c>
      <c r="DI6" s="23" t="str">
        <f t="shared" si="49"/>
        <v/>
      </c>
      <c r="DJ6" s="23" t="str">
        <f t="shared" si="49"/>
        <v/>
      </c>
      <c r="DK6" s="23" t="str">
        <f t="shared" si="49"/>
        <v/>
      </c>
      <c r="DO6" s="61">
        <f>$C6</f>
        <v>1</v>
      </c>
      <c r="DP6" s="62">
        <f>IF($A6&lt;&gt;"x",$L6*SUMIFS($AF6:$DK6,$AF$4:$DK$4,Jahresscheiben!C$2),0)</f>
        <v>25</v>
      </c>
      <c r="DQ6" s="61">
        <f>IF($A6&lt;&gt;"x",$L6*SUMIFS($AF6:$DK6,$AF$4:$DK$4,Jahresscheiben!D$2),0)</f>
        <v>0</v>
      </c>
      <c r="DR6" s="61">
        <f>IF($A6&lt;&gt;"x",$L6*SUMIFS($AF6:$DK6,$AF$4:$DK$4,Jahresscheiben!E$2),0)</f>
        <v>0</v>
      </c>
      <c r="DS6" s="61">
        <f>IF($A6&lt;&gt;"x",$L6*SUMIFS($AF6:$DK6,$AF$4:$DK$4,Jahresscheiben!F$2),0)</f>
        <v>0</v>
      </c>
      <c r="DT6" s="61">
        <f>IF($A6&lt;&gt;"x",$L6*SUMIFS($AF6:$DK6,$AF$4:$DK$4,Jahresscheiben!G$2),0)</f>
        <v>0</v>
      </c>
      <c r="DU6" s="61">
        <f>IF($A6&lt;&gt;"x",$L6*SUMIFS($AF6:$DK6,$AF$4:$DK$4,Jahresscheiben!H$2),0)</f>
        <v>0</v>
      </c>
      <c r="DV6" s="61">
        <f>IF($A6&lt;&gt;"x",$L6*SUMIFS($AF6:$DK6,$AF$4:$DK$4,Jahresscheiben!I$2),0)</f>
        <v>0</v>
      </c>
      <c r="DW6" s="85"/>
      <c r="DX6" s="61">
        <f>$C6</f>
        <v>1</v>
      </c>
      <c r="DY6" s="85">
        <f>IF($A6="x",$L6*SUMIFS($AF6:$DK6,$AF$4:$DK$4,Jahresscheiben!C$2)/2,0)</f>
        <v>0</v>
      </c>
      <c r="DZ6" s="85">
        <f>IF($A6="x",$L6*SUMIFS($AF6:$DK6,$AF$4:$DK$4,Jahresscheiben!D$2)/2,0)</f>
        <v>0</v>
      </c>
      <c r="EA6" s="85">
        <f>IF($A6="x",$L6*SUMIFS($AF6:$DK6,$AF$4:$DK$4,Jahresscheiben!E$2)/2,0)</f>
        <v>0</v>
      </c>
      <c r="EB6" s="85">
        <f>IF($A6="x",$L6*SUMIFS($AF6:$DK6,$AF$4:$DK$4,Jahresscheiben!F$2)/2,0)</f>
        <v>0</v>
      </c>
      <c r="EC6" s="85">
        <f>IF($A6="x",$L6*SUMIFS($AF6:$DK6,$AF$4:$DK$4,Jahresscheiben!G$2)/2,0)</f>
        <v>0</v>
      </c>
      <c r="ED6" s="85">
        <f>IF($A6="x",$L6*SUMIFS($AF6:$DK6,$AF$4:$DK$4,Jahresscheiben!H$2)/2,0)</f>
        <v>0</v>
      </c>
      <c r="EE6" s="85">
        <f>IF($A6="x",$L6*SUMIFS($AF6:$DK6,$AF$4:$DK$4,Jahresscheiben!I$2)/2,0)</f>
        <v>0</v>
      </c>
      <c r="EF6" s="85"/>
      <c r="EG6" s="61">
        <f>$C6</f>
        <v>1</v>
      </c>
      <c r="EH6" s="85" cm="1">
        <f t="array" ref="EH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6" s="85" cm="1">
        <f t="array" ref="EI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0</v>
      </c>
      <c r="EJ6" s="85" cm="1">
        <f t="array" ref="EJ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</v>
      </c>
      <c r="EK6" s="85" cm="1">
        <f t="array" ref="EK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6" s="85" cm="1">
        <f t="array" ref="EL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6" s="85" cm="1">
        <f t="array" ref="EM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6" s="85" cm="1">
        <f t="array" ref="EN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6" s="85"/>
      <c r="EQ6" s="61">
        <f>$C6</f>
        <v>1</v>
      </c>
      <c r="ER6" s="62">
        <f>IF($A6&lt;&gt;"x",$P6*SUMIFS($AF6:$DK6,$AF$4:$DK$4,Jahresscheiben!C$2),0)</f>
        <v>25</v>
      </c>
      <c r="ES6" s="62">
        <f>IF($A6&lt;&gt;"x",$P6*SUMIFS($AF6:$DK6,$AF$4:$DK$4,Jahresscheiben!D$2),0)</f>
        <v>0</v>
      </c>
      <c r="ET6" s="62">
        <f>IF($A6&lt;&gt;"x",$P6*SUMIFS($AF6:$DK6,$AF$4:$DK$4,Jahresscheiben!E$2),0)</f>
        <v>0</v>
      </c>
      <c r="EU6" s="62">
        <f>IF($A6&lt;&gt;"x",$P6*SUMIFS($AF6:$DK6,$AF$4:$DK$4,Jahresscheiben!F$2),0)</f>
        <v>0</v>
      </c>
      <c r="EV6" s="62">
        <f>IF($A6&lt;&gt;"x",$P6*SUMIFS($AF6:$DK6,$AF$4:$DK$4,Jahresscheiben!G$2),0)</f>
        <v>0</v>
      </c>
      <c r="EW6" s="62">
        <f>IF($A6&lt;&gt;"x",$P6*SUMIFS($AF6:$DK6,$AF$4:$DK$4,Jahresscheiben!H$2),0)</f>
        <v>0</v>
      </c>
      <c r="EX6" s="62">
        <f>IF($A6&lt;&gt;"x",$P6*SUMIFS($AF6:$DK6,$AF$4:$DK$4,Jahresscheiben!I$2),0)</f>
        <v>0</v>
      </c>
      <c r="EY6" s="85"/>
      <c r="EZ6" s="61">
        <f>$C6</f>
        <v>1</v>
      </c>
      <c r="FA6" s="85">
        <f>IF($A6="x",$P6*SUMIFS($AF6:$DK6,$AF$4:$DK$4,Jahresscheiben!C$2)/2,0)</f>
        <v>0</v>
      </c>
      <c r="FB6" s="85">
        <f>IF($A6="x",$P6*SUMIFS($AF6:$DK6,$AF$4:$DK$4,Jahresscheiben!D$2)/2,0)</f>
        <v>0</v>
      </c>
      <c r="FC6" s="85">
        <f>IF($A6="x",$P6*SUMIFS($AF6:$DK6,$AF$4:$DK$4,Jahresscheiben!E$2)/2,0)</f>
        <v>0</v>
      </c>
      <c r="FD6" s="85">
        <f>IF($A6="x",$P6*SUMIFS($AF6:$DK6,$AF$4:$DK$4,Jahresscheiben!F$2)/2,0)</f>
        <v>0</v>
      </c>
      <c r="FE6" s="85">
        <f>IF($A6="x",$P6*SUMIFS($AF6:$DK6,$AF$4:$DK$4,Jahresscheiben!G$2)/2,0)</f>
        <v>0</v>
      </c>
      <c r="FF6" s="85">
        <f>IF($A6="x",$P6*SUMIFS($AF6:$DK6,$AF$4:$DK$4,Jahresscheiben!H$2)/2,0)</f>
        <v>0</v>
      </c>
      <c r="FG6" s="85">
        <f>IF($A6="x",$P6*SUMIFS($AF6:$DK6,$AF$4:$DK$4,Jahresscheiben!I$2)/2,0)</f>
        <v>0</v>
      </c>
      <c r="FH6" s="85"/>
      <c r="FI6" s="61">
        <f>$C6</f>
        <v>1</v>
      </c>
      <c r="FJ6" s="85" cm="1">
        <f t="array" ref="FJ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6" s="85" cm="1">
        <f t="array" ref="FK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0</v>
      </c>
      <c r="FL6" s="85" cm="1">
        <f t="array" ref="FL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</v>
      </c>
      <c r="FM6" s="85" cm="1">
        <f t="array" ref="FM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6" s="85" cm="1">
        <f t="array" ref="FN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6" s="85" cm="1">
        <f t="array" ref="FO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6" s="85" cm="1">
        <f t="array" ref="FP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7" spans="1:172" ht="17" customHeight="1" thickBot="1" x14ac:dyDescent="0.55000000000000004">
      <c r="A7" s="30" t="s">
        <v>24</v>
      </c>
      <c r="B7" s="31">
        <f t="shared" ref="B7:B65" si="50">LEN(D7)</f>
        <v>145</v>
      </c>
      <c r="C7" s="22">
        <f t="shared" ref="C7:C65" si="51">ROW()-5</f>
        <v>2</v>
      </c>
      <c r="D7" s="71" t="s">
        <v>52</v>
      </c>
      <c r="E7" s="26"/>
      <c r="F7" s="26">
        <v>1</v>
      </c>
      <c r="G7" s="26">
        <v>2</v>
      </c>
      <c r="H7" s="26"/>
      <c r="I7" s="6">
        <f t="shared" si="40"/>
        <v>46053</v>
      </c>
      <c r="J7" s="6">
        <f t="shared" si="41"/>
        <v>46081</v>
      </c>
      <c r="K7" s="26"/>
      <c r="L7" s="53">
        <v>4</v>
      </c>
      <c r="M7" s="60" cm="1">
        <f t="array" ref="M7" xml:space="preserve">
_xlfn.LET(
_xlpm.Z, _xlfn._xlws.FILTER($DY$6:$EE$65,$DX$6:$DX$65=C7),
_xlpm.Q,_xlfn._xlws.FILTER($DP$6:$DV$65,$DO$6:$DO$65=C7),
IF($A7="x",SUMPRODUCT(_xlpm.Z,$DY$73:$EE$73,EH7:EN7),SUMPRODUCT(_xlpm.Q,$DP$73:$DV$73)))</f>
        <v>0</v>
      </c>
      <c r="N7" s="54" t="str" cm="1">
        <f t="array" ref="N7" xml:space="preserve">
_xlfn.LET(
_xlpm.Z, SUM(IF($A7="x",_xlfn._xlws.FILTER($M$6:$M$65,$A$6:$A$65="x"),_xlfn._xlws.FILTER($M$6:$M$65,$A$6:$A$65&lt;&gt;"x"))),
IF(_xlpm.Z&lt;&gt;0,M7/_xlpm.Z,""))</f>
        <v/>
      </c>
      <c r="O7" s="26"/>
      <c r="P7" s="53">
        <f t="shared" ref="P7:P65" si="52">L7</f>
        <v>4</v>
      </c>
      <c r="Q7" s="60" cm="1">
        <f t="array" ref="Q7" xml:space="preserve">
_xlfn.LET(
_xlpm.Z, _xlfn._xlws.FILTER($FA$6:$FG$65,$EZ$6:$EZ$65=C7),
_xlpm.Q,_xlfn._xlws.FILTER($ER$6:$EX$65,$EQ$6:$EQ$65=C7),
IF($A7="x",SUMPRODUCT(_xlpm.Z,$FA$73:$FG$73,FJ7:FP7),SUMPRODUCT(_xlpm.Q,$ER$73:$EX$73)))</f>
        <v>0</v>
      </c>
      <c r="R7" s="54" t="str" cm="1">
        <f t="array" ref="R7" xml:space="preserve">
_xlfn.LET(
_xlpm.Z, SUM(IF($A7="x",_xlfn._xlws.FILTER($Q$6:$Q$65,$A$6:$A$65="x"),_xlfn._xlws.FILTER($Q$6:$Q$65,$A$6:$A$65&lt;&gt;"x"))),
IF(_xlpm.Z&lt;&gt;0,Q7/_xlpm.Z,""))</f>
        <v/>
      </c>
      <c r="S7" s="26"/>
      <c r="T7" s="52"/>
      <c r="U7" s="52"/>
      <c r="V7" s="52"/>
      <c r="W7" s="52"/>
      <c r="X7" s="52"/>
      <c r="Y7" s="27"/>
      <c r="Z7" s="27"/>
      <c r="AA7" s="27"/>
      <c r="AB7" s="27"/>
      <c r="AC7" s="27"/>
      <c r="AD7" s="28"/>
      <c r="AE7" s="28"/>
      <c r="AF7" s="23">
        <f t="shared" si="42"/>
        <v>2</v>
      </c>
      <c r="AG7" s="23">
        <f t="shared" si="42"/>
        <v>2</v>
      </c>
      <c r="AH7" s="23" t="str">
        <f t="shared" si="42"/>
        <v/>
      </c>
      <c r="AI7" s="23" t="str">
        <f t="shared" si="42"/>
        <v/>
      </c>
      <c r="AJ7" s="23" t="str">
        <f t="shared" si="42"/>
        <v/>
      </c>
      <c r="AK7" s="23" t="str">
        <f t="shared" si="42"/>
        <v/>
      </c>
      <c r="AL7" s="23" t="str">
        <f t="shared" si="42"/>
        <v/>
      </c>
      <c r="AM7" s="23" t="str">
        <f t="shared" si="42"/>
        <v/>
      </c>
      <c r="AN7" s="23" t="str">
        <f t="shared" si="42"/>
        <v/>
      </c>
      <c r="AO7" s="23" t="str">
        <f t="shared" si="42"/>
        <v/>
      </c>
      <c r="AP7" s="23" t="str">
        <f t="shared" si="43"/>
        <v/>
      </c>
      <c r="AQ7" s="23" t="str">
        <f t="shared" si="43"/>
        <v/>
      </c>
      <c r="AR7" s="23" t="str">
        <f t="shared" si="43"/>
        <v/>
      </c>
      <c r="AS7" s="23" t="str">
        <f t="shared" si="43"/>
        <v/>
      </c>
      <c r="AT7" s="23" t="str">
        <f t="shared" si="43"/>
        <v/>
      </c>
      <c r="AU7" s="23" t="str">
        <f t="shared" si="43"/>
        <v/>
      </c>
      <c r="AV7" s="23" t="str">
        <f t="shared" si="43"/>
        <v/>
      </c>
      <c r="AW7" s="23" t="str">
        <f t="shared" si="43"/>
        <v/>
      </c>
      <c r="AX7" s="23" t="str">
        <f t="shared" si="43"/>
        <v/>
      </c>
      <c r="AY7" s="23" t="str">
        <f t="shared" si="43"/>
        <v/>
      </c>
      <c r="AZ7" s="23" t="str">
        <f t="shared" si="44"/>
        <v/>
      </c>
      <c r="BA7" s="23" t="str">
        <f t="shared" si="44"/>
        <v/>
      </c>
      <c r="BB7" s="23" t="str">
        <f t="shared" si="44"/>
        <v/>
      </c>
      <c r="BC7" s="23" t="str">
        <f t="shared" si="44"/>
        <v/>
      </c>
      <c r="BD7" s="23" t="str">
        <f t="shared" si="44"/>
        <v/>
      </c>
      <c r="BE7" s="23" t="str">
        <f t="shared" si="44"/>
        <v/>
      </c>
      <c r="BF7" s="23" t="str">
        <f t="shared" si="44"/>
        <v/>
      </c>
      <c r="BG7" s="23" t="str">
        <f t="shared" si="44"/>
        <v/>
      </c>
      <c r="BH7" s="23" t="str">
        <f t="shared" si="44"/>
        <v/>
      </c>
      <c r="BI7" s="23" t="str">
        <f t="shared" si="44"/>
        <v/>
      </c>
      <c r="BJ7" s="23" t="str">
        <f t="shared" si="45"/>
        <v/>
      </c>
      <c r="BK7" s="23" t="str">
        <f t="shared" si="45"/>
        <v/>
      </c>
      <c r="BL7" s="23" t="str">
        <f t="shared" si="45"/>
        <v/>
      </c>
      <c r="BM7" s="23" t="str">
        <f t="shared" si="45"/>
        <v/>
      </c>
      <c r="BN7" s="23" t="str">
        <f t="shared" si="45"/>
        <v/>
      </c>
      <c r="BO7" s="23" t="str">
        <f t="shared" si="45"/>
        <v/>
      </c>
      <c r="BP7" s="23" t="str">
        <f t="shared" si="45"/>
        <v/>
      </c>
      <c r="BQ7" s="23" t="str">
        <f t="shared" si="45"/>
        <v/>
      </c>
      <c r="BR7" s="23" t="str">
        <f t="shared" si="45"/>
        <v/>
      </c>
      <c r="BS7" s="23" t="str">
        <f t="shared" si="45"/>
        <v/>
      </c>
      <c r="BT7" s="23" t="str">
        <f t="shared" si="46"/>
        <v/>
      </c>
      <c r="BU7" s="23" t="str">
        <f t="shared" si="46"/>
        <v/>
      </c>
      <c r="BV7" s="23" t="str">
        <f t="shared" si="46"/>
        <v/>
      </c>
      <c r="BW7" s="23" t="str">
        <f t="shared" si="46"/>
        <v/>
      </c>
      <c r="BX7" s="23" t="str">
        <f t="shared" si="46"/>
        <v/>
      </c>
      <c r="BY7" s="23" t="str">
        <f t="shared" si="46"/>
        <v/>
      </c>
      <c r="BZ7" s="23" t="str">
        <f t="shared" si="46"/>
        <v/>
      </c>
      <c r="CA7" s="23" t="str">
        <f t="shared" si="46"/>
        <v/>
      </c>
      <c r="CB7" s="23" t="str">
        <f t="shared" si="46"/>
        <v/>
      </c>
      <c r="CC7" s="23" t="str">
        <f t="shared" si="46"/>
        <v/>
      </c>
      <c r="CD7" s="23" t="str">
        <f t="shared" si="47"/>
        <v/>
      </c>
      <c r="CE7" s="23" t="str">
        <f t="shared" si="47"/>
        <v/>
      </c>
      <c r="CF7" s="23" t="str">
        <f t="shared" si="47"/>
        <v/>
      </c>
      <c r="CG7" s="23" t="str">
        <f t="shared" si="47"/>
        <v/>
      </c>
      <c r="CH7" s="23" t="str">
        <f t="shared" si="47"/>
        <v/>
      </c>
      <c r="CI7" s="23" t="str">
        <f t="shared" si="47"/>
        <v/>
      </c>
      <c r="CJ7" s="23" t="str">
        <f t="shared" si="47"/>
        <v/>
      </c>
      <c r="CK7" s="23" t="str">
        <f t="shared" si="47"/>
        <v/>
      </c>
      <c r="CL7" s="23" t="str">
        <f t="shared" si="47"/>
        <v/>
      </c>
      <c r="CM7" s="23" t="str">
        <f t="shared" si="47"/>
        <v/>
      </c>
      <c r="CN7" s="23" t="str">
        <f t="shared" si="48"/>
        <v/>
      </c>
      <c r="CO7" s="23" t="str">
        <f t="shared" si="48"/>
        <v/>
      </c>
      <c r="CP7" s="23" t="str">
        <f t="shared" si="48"/>
        <v/>
      </c>
      <c r="CQ7" s="23" t="str">
        <f t="shared" si="48"/>
        <v/>
      </c>
      <c r="CR7" s="23" t="str">
        <f t="shared" si="48"/>
        <v/>
      </c>
      <c r="CS7" s="23" t="str">
        <f t="shared" si="48"/>
        <v/>
      </c>
      <c r="CT7" s="23" t="str">
        <f t="shared" si="48"/>
        <v/>
      </c>
      <c r="CU7" s="23" t="str">
        <f t="shared" si="48"/>
        <v/>
      </c>
      <c r="CV7" s="23" t="str">
        <f t="shared" si="48"/>
        <v/>
      </c>
      <c r="CW7" s="23" t="str">
        <f t="shared" si="48"/>
        <v/>
      </c>
      <c r="CX7" s="23" t="str">
        <f t="shared" si="49"/>
        <v/>
      </c>
      <c r="CY7" s="23" t="str">
        <f t="shared" si="49"/>
        <v/>
      </c>
      <c r="CZ7" s="23" t="str">
        <f t="shared" si="49"/>
        <v/>
      </c>
      <c r="DA7" s="23" t="str">
        <f t="shared" si="49"/>
        <v/>
      </c>
      <c r="DB7" s="23" t="str">
        <f t="shared" si="49"/>
        <v/>
      </c>
      <c r="DC7" s="23" t="str">
        <f t="shared" si="49"/>
        <v/>
      </c>
      <c r="DD7" s="23" t="str">
        <f t="shared" si="49"/>
        <v/>
      </c>
      <c r="DE7" s="23" t="str">
        <f t="shared" si="49"/>
        <v/>
      </c>
      <c r="DF7" s="23" t="str">
        <f t="shared" si="49"/>
        <v/>
      </c>
      <c r="DG7" s="23" t="str">
        <f t="shared" si="49"/>
        <v/>
      </c>
      <c r="DH7" s="23" t="str">
        <f t="shared" si="49"/>
        <v/>
      </c>
      <c r="DI7" s="23" t="str">
        <f t="shared" si="49"/>
        <v/>
      </c>
      <c r="DJ7" s="23" t="str">
        <f t="shared" si="49"/>
        <v/>
      </c>
      <c r="DK7" s="23" t="str">
        <f t="shared" si="49"/>
        <v/>
      </c>
      <c r="DO7" s="61">
        <f t="shared" ref="DO7:DO65" si="53">$C7</f>
        <v>2</v>
      </c>
      <c r="DP7" s="61">
        <f>IF($A7&lt;&gt;"x",$L7*SUMIFS($AF7:$DK7,$AF$4:$DK$4,Jahresscheiben!C$2),0)</f>
        <v>0</v>
      </c>
      <c r="DQ7" s="61">
        <f>IF($A7&lt;&gt;"x",$L7*SUMIFS($AF7:$DK7,$AF$4:$DK$4,Jahresscheiben!D$2),0)</f>
        <v>0</v>
      </c>
      <c r="DR7" s="61">
        <f>IF($A7&lt;&gt;"x",$L7*SUMIFS($AF7:$DK7,$AF$4:$DK$4,Jahresscheiben!E$2),0)</f>
        <v>0</v>
      </c>
      <c r="DS7" s="61">
        <f>IF($A7&lt;&gt;"x",$L7*SUMIFS($AF7:$DK7,$AF$4:$DK$4,Jahresscheiben!F$2),0)</f>
        <v>0</v>
      </c>
      <c r="DT7" s="61">
        <f>IF($A7&lt;&gt;"x",$L7*SUMIFS($AF7:$DK7,$AF$4:$DK$4,Jahresscheiben!G$2),0)</f>
        <v>0</v>
      </c>
      <c r="DU7" s="61">
        <f>IF($A7&lt;&gt;"x",$L7*SUMIFS($AF7:$DK7,$AF$4:$DK$4,Jahresscheiben!H$2),0)</f>
        <v>0</v>
      </c>
      <c r="DV7" s="61">
        <f>IF($A7&lt;&gt;"x",$L7*SUMIFS($AF7:$DK7,$AF$4:$DK$4,Jahresscheiben!I$2),0)</f>
        <v>0</v>
      </c>
      <c r="DW7" s="85"/>
      <c r="DX7" s="61">
        <f t="shared" ref="DX7:DX65" si="54">$C7</f>
        <v>2</v>
      </c>
      <c r="DY7" s="85">
        <f>IF($A7="x",$L7*SUMIFS($AF7:$DK7,$AF$4:$DK$4,Jahresscheiben!C$2)/2,0)</f>
        <v>8</v>
      </c>
      <c r="DZ7" s="85">
        <f>IF($A7="x",$L7*SUMIFS($AF7:$DK7,$AF$4:$DK$4,Jahresscheiben!D$2)/2,0)</f>
        <v>0</v>
      </c>
      <c r="EA7" s="85">
        <f>IF($A7="x",$L7*SUMIFS($AF7:$DK7,$AF$4:$DK$4,Jahresscheiben!E$2)/2,0)</f>
        <v>0</v>
      </c>
      <c r="EB7" s="85">
        <f>IF($A7="x",$L7*SUMIFS($AF7:$DK7,$AF$4:$DK$4,Jahresscheiben!F$2)/2,0)</f>
        <v>0</v>
      </c>
      <c r="EC7" s="85">
        <f>IF($A7="x",$L7*SUMIFS($AF7:$DK7,$AF$4:$DK$4,Jahresscheiben!G$2)/2,0)</f>
        <v>0</v>
      </c>
      <c r="ED7" s="85">
        <f>IF($A7="x",$L7*SUMIFS($AF7:$DK7,$AF$4:$DK$4,Jahresscheiben!H$2)/2,0)</f>
        <v>0</v>
      </c>
      <c r="EE7" s="85">
        <f>IF($A7="x",$L7*SUMIFS($AF7:$DK7,$AF$4:$DK$4,Jahresscheiben!I$2)/2,0)</f>
        <v>0</v>
      </c>
      <c r="EF7" s="85"/>
      <c r="EG7" s="61">
        <f t="shared" ref="EG7:EG65" si="55">$C7</f>
        <v>2</v>
      </c>
      <c r="EH7" s="85" cm="1">
        <f t="array" ref="EH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0.86076298030574294</v>
      </c>
      <c r="EI7" s="85" cm="1">
        <f t="array" ref="EI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0</v>
      </c>
      <c r="EJ7" s="85" cm="1">
        <f t="array" ref="EJ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</v>
      </c>
      <c r="EK7" s="85" cm="1">
        <f t="array" ref="EK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7" s="85" cm="1">
        <f t="array" ref="EL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7" s="85" cm="1">
        <f t="array" ref="EM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7" s="85" cm="1">
        <f t="array" ref="EN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7" s="85"/>
      <c r="EQ7" s="61">
        <f t="shared" ref="EQ7:EQ65" si="56">$C7</f>
        <v>2</v>
      </c>
      <c r="ER7" s="62">
        <f>IF($A7&lt;&gt;"x",$P7*SUMIFS($AF7:$DK7,$AF$4:$DK$4,Jahresscheiben!C$2),0)</f>
        <v>0</v>
      </c>
      <c r="ES7" s="62">
        <f>IF($A7&lt;&gt;"x",$P7*SUMIFS($AF7:$DK7,$AF$4:$DK$4,Jahresscheiben!D$2),0)</f>
        <v>0</v>
      </c>
      <c r="ET7" s="62">
        <f>IF($A7&lt;&gt;"x",$P7*SUMIFS($AF7:$DK7,$AF$4:$DK$4,Jahresscheiben!E$2),0)</f>
        <v>0</v>
      </c>
      <c r="EU7" s="62">
        <f>IF($A7&lt;&gt;"x",$P7*SUMIFS($AF7:$DK7,$AF$4:$DK$4,Jahresscheiben!F$2),0)</f>
        <v>0</v>
      </c>
      <c r="EV7" s="62">
        <f>IF($A7&lt;&gt;"x",$P7*SUMIFS($AF7:$DK7,$AF$4:$DK$4,Jahresscheiben!G$2),0)</f>
        <v>0</v>
      </c>
      <c r="EW7" s="62">
        <f>IF($A7&lt;&gt;"x",$P7*SUMIFS($AF7:$DK7,$AF$4:$DK$4,Jahresscheiben!H$2),0)</f>
        <v>0</v>
      </c>
      <c r="EX7" s="62">
        <f>IF($A7&lt;&gt;"x",$P7*SUMIFS($AF7:$DK7,$AF$4:$DK$4,Jahresscheiben!I$2),0)</f>
        <v>0</v>
      </c>
      <c r="EY7" s="85"/>
      <c r="EZ7" s="61">
        <f t="shared" ref="EZ7:EZ65" si="57">$C7</f>
        <v>2</v>
      </c>
      <c r="FA7" s="85">
        <f>IF($A7="x",$P7*SUMIFS($AF7:$DK7,$AF$4:$DK$4,Jahresscheiben!C$2)/2,0)</f>
        <v>8</v>
      </c>
      <c r="FB7" s="85">
        <f>IF($A7="x",$P7*SUMIFS($AF7:$DK7,$AF$4:$DK$4,Jahresscheiben!D$2)/2,0)</f>
        <v>0</v>
      </c>
      <c r="FC7" s="85">
        <f>IF($A7="x",$P7*SUMIFS($AF7:$DK7,$AF$4:$DK$4,Jahresscheiben!E$2)/2,0)</f>
        <v>0</v>
      </c>
      <c r="FD7" s="85">
        <f>IF($A7="x",$P7*SUMIFS($AF7:$DK7,$AF$4:$DK$4,Jahresscheiben!F$2)/2,0)</f>
        <v>0</v>
      </c>
      <c r="FE7" s="85">
        <f>IF($A7="x",$P7*SUMIFS($AF7:$DK7,$AF$4:$DK$4,Jahresscheiben!G$2)/2,0)</f>
        <v>0</v>
      </c>
      <c r="FF7" s="85">
        <f>IF($A7="x",$P7*SUMIFS($AF7:$DK7,$AF$4:$DK$4,Jahresscheiben!H$2)/2,0)</f>
        <v>0</v>
      </c>
      <c r="FG7" s="85">
        <f>IF($A7="x",$P7*SUMIFS($AF7:$DK7,$AF$4:$DK$4,Jahresscheiben!I$2)/2,0)</f>
        <v>0</v>
      </c>
      <c r="FH7" s="85"/>
      <c r="FI7" s="61">
        <f t="shared" ref="FI7:FI65" si="58">$C7</f>
        <v>2</v>
      </c>
      <c r="FJ7" s="85" cm="1">
        <f t="array" ref="FJ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0.86076298030574294</v>
      </c>
      <c r="FK7" s="85" cm="1">
        <f t="array" ref="FK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0</v>
      </c>
      <c r="FL7" s="85" cm="1">
        <f t="array" ref="FL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</v>
      </c>
      <c r="FM7" s="85" cm="1">
        <f t="array" ref="FM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7" s="85" cm="1">
        <f t="array" ref="FN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7" s="85" cm="1">
        <f t="array" ref="FO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7" s="85" cm="1">
        <f t="array" ref="FP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8" spans="1:172" ht="17" customHeight="1" thickBot="1" x14ac:dyDescent="0.55000000000000004">
      <c r="A8" s="30" t="s">
        <v>24</v>
      </c>
      <c r="B8" s="31">
        <f t="shared" si="50"/>
        <v>146</v>
      </c>
      <c r="C8" s="22">
        <f t="shared" si="51"/>
        <v>3</v>
      </c>
      <c r="D8" s="71" t="s">
        <v>53</v>
      </c>
      <c r="E8" s="26"/>
      <c r="F8" s="26">
        <v>1</v>
      </c>
      <c r="G8" s="26">
        <v>3</v>
      </c>
      <c r="H8" s="26"/>
      <c r="I8" s="6">
        <f t="shared" si="40"/>
        <v>46053</v>
      </c>
      <c r="J8" s="6">
        <f t="shared" si="41"/>
        <v>46112</v>
      </c>
      <c r="K8" s="26"/>
      <c r="L8" s="53">
        <v>4</v>
      </c>
      <c r="M8" s="60" cm="1">
        <f t="array" ref="M8" xml:space="preserve">
_xlfn.LET(
_xlpm.Z, _xlfn._xlws.FILTER($DY$6:$EE$65,$DX$6:$DX$65=C8),
_xlpm.Q,_xlfn._xlws.FILTER($DP$6:$DV$65,$DO$6:$DO$65=C8),
IF($A8="x",SUMPRODUCT(_xlpm.Z,$DY$73:$EE$73,EH8:EN8),SUMPRODUCT(_xlpm.Q,$DP$73:$DV$73)))</f>
        <v>0</v>
      </c>
      <c r="N8" s="54" t="str" cm="1">
        <f t="array" ref="N8" xml:space="preserve">
_xlfn.LET(
_xlpm.Z, SUM(IF($A8="x",_xlfn._xlws.FILTER($M$6:$M$65,$A$6:$A$65="x"),_xlfn._xlws.FILTER($M$6:$M$65,$A$6:$A$65&lt;&gt;"x"))),
IF(_xlpm.Z&lt;&gt;0,M8/_xlpm.Z,""))</f>
        <v/>
      </c>
      <c r="O8" s="26"/>
      <c r="P8" s="53">
        <f t="shared" si="52"/>
        <v>4</v>
      </c>
      <c r="Q8" s="60" cm="1">
        <f t="array" ref="Q8" xml:space="preserve">
_xlfn.LET(
_xlpm.Z, _xlfn._xlws.FILTER($FA$6:$FG$65,$EZ$6:$EZ$65=C8),
_xlpm.Q,_xlfn._xlws.FILTER($ER$6:$EX$65,$EQ$6:$EQ$65=C8),
IF($A8="x",SUMPRODUCT(_xlpm.Z,$FA$73:$FG$73,FJ8:FP8),SUMPRODUCT(_xlpm.Q,$ER$73:$EX$73)))</f>
        <v>0</v>
      </c>
      <c r="R8" s="54" t="str" cm="1">
        <f t="array" ref="R8" xml:space="preserve">
_xlfn.LET(
_xlpm.Z, SUM(IF($A8="x",_xlfn._xlws.FILTER($Q$6:$Q$65,$A$6:$A$65="x"),_xlfn._xlws.FILTER($Q$6:$Q$65,$A$6:$A$65&lt;&gt;"x"))),
IF(_xlpm.Z&lt;&gt;0,Q8/_xlpm.Z,""))</f>
        <v/>
      </c>
      <c r="S8" s="26"/>
      <c r="T8" s="52"/>
      <c r="U8" s="52"/>
      <c r="V8" s="52"/>
      <c r="W8" s="52"/>
      <c r="X8" s="52"/>
      <c r="Y8" s="27"/>
      <c r="Z8" s="27"/>
      <c r="AA8" s="27"/>
      <c r="AB8" s="27"/>
      <c r="AC8" s="27"/>
      <c r="AD8" s="28"/>
      <c r="AE8" s="28"/>
      <c r="AF8" s="23">
        <f t="shared" si="42"/>
        <v>2</v>
      </c>
      <c r="AG8" s="23">
        <f t="shared" si="42"/>
        <v>2</v>
      </c>
      <c r="AH8" s="23">
        <f t="shared" si="42"/>
        <v>2</v>
      </c>
      <c r="AI8" s="23" t="str">
        <f t="shared" si="42"/>
        <v/>
      </c>
      <c r="AJ8" s="23" t="str">
        <f t="shared" si="42"/>
        <v/>
      </c>
      <c r="AK8" s="23" t="str">
        <f t="shared" si="42"/>
        <v/>
      </c>
      <c r="AL8" s="23" t="str">
        <f t="shared" si="42"/>
        <v/>
      </c>
      <c r="AM8" s="23" t="str">
        <f t="shared" si="42"/>
        <v/>
      </c>
      <c r="AN8" s="23" t="str">
        <f t="shared" si="42"/>
        <v/>
      </c>
      <c r="AO8" s="23" t="str">
        <f t="shared" si="42"/>
        <v/>
      </c>
      <c r="AP8" s="23" t="str">
        <f t="shared" si="43"/>
        <v/>
      </c>
      <c r="AQ8" s="23" t="str">
        <f t="shared" si="43"/>
        <v/>
      </c>
      <c r="AR8" s="23" t="str">
        <f t="shared" si="43"/>
        <v/>
      </c>
      <c r="AS8" s="23" t="str">
        <f t="shared" si="43"/>
        <v/>
      </c>
      <c r="AT8" s="23" t="str">
        <f t="shared" si="43"/>
        <v/>
      </c>
      <c r="AU8" s="23" t="str">
        <f t="shared" si="43"/>
        <v/>
      </c>
      <c r="AV8" s="23" t="str">
        <f t="shared" si="43"/>
        <v/>
      </c>
      <c r="AW8" s="23" t="str">
        <f t="shared" si="43"/>
        <v/>
      </c>
      <c r="AX8" s="23" t="str">
        <f t="shared" si="43"/>
        <v/>
      </c>
      <c r="AY8" s="23" t="str">
        <f t="shared" si="43"/>
        <v/>
      </c>
      <c r="AZ8" s="23" t="str">
        <f t="shared" si="44"/>
        <v/>
      </c>
      <c r="BA8" s="23" t="str">
        <f t="shared" si="44"/>
        <v/>
      </c>
      <c r="BB8" s="23" t="str">
        <f t="shared" si="44"/>
        <v/>
      </c>
      <c r="BC8" s="23" t="str">
        <f t="shared" si="44"/>
        <v/>
      </c>
      <c r="BD8" s="23" t="str">
        <f t="shared" si="44"/>
        <v/>
      </c>
      <c r="BE8" s="23" t="str">
        <f t="shared" si="44"/>
        <v/>
      </c>
      <c r="BF8" s="23" t="str">
        <f t="shared" si="44"/>
        <v/>
      </c>
      <c r="BG8" s="23" t="str">
        <f t="shared" si="44"/>
        <v/>
      </c>
      <c r="BH8" s="23" t="str">
        <f t="shared" si="44"/>
        <v/>
      </c>
      <c r="BI8" s="23" t="str">
        <f t="shared" si="44"/>
        <v/>
      </c>
      <c r="BJ8" s="23" t="str">
        <f t="shared" si="45"/>
        <v/>
      </c>
      <c r="BK8" s="23" t="str">
        <f t="shared" si="45"/>
        <v/>
      </c>
      <c r="BL8" s="23" t="str">
        <f t="shared" si="45"/>
        <v/>
      </c>
      <c r="BM8" s="23" t="str">
        <f t="shared" si="45"/>
        <v/>
      </c>
      <c r="BN8" s="23" t="str">
        <f t="shared" si="45"/>
        <v/>
      </c>
      <c r="BO8" s="23" t="str">
        <f t="shared" si="45"/>
        <v/>
      </c>
      <c r="BP8" s="23" t="str">
        <f t="shared" si="45"/>
        <v/>
      </c>
      <c r="BQ8" s="23" t="str">
        <f t="shared" si="45"/>
        <v/>
      </c>
      <c r="BR8" s="23" t="str">
        <f t="shared" si="45"/>
        <v/>
      </c>
      <c r="BS8" s="23" t="str">
        <f t="shared" si="45"/>
        <v/>
      </c>
      <c r="BT8" s="23" t="str">
        <f t="shared" si="46"/>
        <v/>
      </c>
      <c r="BU8" s="23" t="str">
        <f t="shared" si="46"/>
        <v/>
      </c>
      <c r="BV8" s="23" t="str">
        <f t="shared" si="46"/>
        <v/>
      </c>
      <c r="BW8" s="23" t="str">
        <f t="shared" si="46"/>
        <v/>
      </c>
      <c r="BX8" s="23" t="str">
        <f t="shared" si="46"/>
        <v/>
      </c>
      <c r="BY8" s="23" t="str">
        <f t="shared" si="46"/>
        <v/>
      </c>
      <c r="BZ8" s="23" t="str">
        <f t="shared" si="46"/>
        <v/>
      </c>
      <c r="CA8" s="23" t="str">
        <f t="shared" si="46"/>
        <v/>
      </c>
      <c r="CB8" s="23" t="str">
        <f t="shared" si="46"/>
        <v/>
      </c>
      <c r="CC8" s="23" t="str">
        <f t="shared" si="46"/>
        <v/>
      </c>
      <c r="CD8" s="23" t="str">
        <f t="shared" si="47"/>
        <v/>
      </c>
      <c r="CE8" s="23" t="str">
        <f t="shared" si="47"/>
        <v/>
      </c>
      <c r="CF8" s="23" t="str">
        <f t="shared" si="47"/>
        <v/>
      </c>
      <c r="CG8" s="23" t="str">
        <f t="shared" si="47"/>
        <v/>
      </c>
      <c r="CH8" s="23" t="str">
        <f t="shared" si="47"/>
        <v/>
      </c>
      <c r="CI8" s="23" t="str">
        <f t="shared" si="47"/>
        <v/>
      </c>
      <c r="CJ8" s="23" t="str">
        <f t="shared" si="47"/>
        <v/>
      </c>
      <c r="CK8" s="23" t="str">
        <f t="shared" si="47"/>
        <v/>
      </c>
      <c r="CL8" s="23" t="str">
        <f t="shared" si="47"/>
        <v/>
      </c>
      <c r="CM8" s="23" t="str">
        <f t="shared" si="47"/>
        <v/>
      </c>
      <c r="CN8" s="23" t="str">
        <f t="shared" si="48"/>
        <v/>
      </c>
      <c r="CO8" s="23" t="str">
        <f t="shared" si="48"/>
        <v/>
      </c>
      <c r="CP8" s="23" t="str">
        <f t="shared" si="48"/>
        <v/>
      </c>
      <c r="CQ8" s="23" t="str">
        <f t="shared" si="48"/>
        <v/>
      </c>
      <c r="CR8" s="23" t="str">
        <f t="shared" si="48"/>
        <v/>
      </c>
      <c r="CS8" s="23" t="str">
        <f t="shared" si="48"/>
        <v/>
      </c>
      <c r="CT8" s="23" t="str">
        <f t="shared" si="48"/>
        <v/>
      </c>
      <c r="CU8" s="23" t="str">
        <f t="shared" si="48"/>
        <v/>
      </c>
      <c r="CV8" s="23" t="str">
        <f t="shared" si="48"/>
        <v/>
      </c>
      <c r="CW8" s="23" t="str">
        <f t="shared" si="48"/>
        <v/>
      </c>
      <c r="CX8" s="23" t="str">
        <f t="shared" si="49"/>
        <v/>
      </c>
      <c r="CY8" s="23" t="str">
        <f t="shared" si="49"/>
        <v/>
      </c>
      <c r="CZ8" s="23" t="str">
        <f t="shared" si="49"/>
        <v/>
      </c>
      <c r="DA8" s="23" t="str">
        <f t="shared" si="49"/>
        <v/>
      </c>
      <c r="DB8" s="23" t="str">
        <f t="shared" si="49"/>
        <v/>
      </c>
      <c r="DC8" s="23" t="str">
        <f t="shared" si="49"/>
        <v/>
      </c>
      <c r="DD8" s="23" t="str">
        <f t="shared" si="49"/>
        <v/>
      </c>
      <c r="DE8" s="23" t="str">
        <f t="shared" si="49"/>
        <v/>
      </c>
      <c r="DF8" s="23" t="str">
        <f t="shared" si="49"/>
        <v/>
      </c>
      <c r="DG8" s="23" t="str">
        <f t="shared" si="49"/>
        <v/>
      </c>
      <c r="DH8" s="23" t="str">
        <f t="shared" si="49"/>
        <v/>
      </c>
      <c r="DI8" s="23" t="str">
        <f t="shared" si="49"/>
        <v/>
      </c>
      <c r="DJ8" s="23" t="str">
        <f t="shared" si="49"/>
        <v/>
      </c>
      <c r="DK8" s="23" t="str">
        <f t="shared" si="49"/>
        <v/>
      </c>
      <c r="DO8" s="61">
        <f t="shared" si="53"/>
        <v>3</v>
      </c>
      <c r="DP8" s="61">
        <f>IF($A8&lt;&gt;"x",$L8*SUMIFS($AF8:$DK8,$AF$4:$DK$4,Jahresscheiben!C$2),0)</f>
        <v>0</v>
      </c>
      <c r="DQ8" s="61">
        <f>IF($A8&lt;&gt;"x",$L8*SUMIFS($AF8:$DK8,$AF$4:$DK$4,Jahresscheiben!D$2),0)</f>
        <v>0</v>
      </c>
      <c r="DR8" s="61">
        <f>IF($A8&lt;&gt;"x",$L8*SUMIFS($AF8:$DK8,$AF$4:$DK$4,Jahresscheiben!E$2),0)</f>
        <v>0</v>
      </c>
      <c r="DS8" s="61">
        <f>IF($A8&lt;&gt;"x",$L8*SUMIFS($AF8:$DK8,$AF$4:$DK$4,Jahresscheiben!F$2),0)</f>
        <v>0</v>
      </c>
      <c r="DT8" s="61">
        <f>IF($A8&lt;&gt;"x",$L8*SUMIFS($AF8:$DK8,$AF$4:$DK$4,Jahresscheiben!G$2),0)</f>
        <v>0</v>
      </c>
      <c r="DU8" s="61">
        <f>IF($A8&lt;&gt;"x",$L8*SUMIFS($AF8:$DK8,$AF$4:$DK$4,Jahresscheiben!H$2),0)</f>
        <v>0</v>
      </c>
      <c r="DV8" s="61">
        <f>IF($A8&lt;&gt;"x",$L8*SUMIFS($AF8:$DK8,$AF$4:$DK$4,Jahresscheiben!I$2),0)</f>
        <v>0</v>
      </c>
      <c r="DW8" s="85"/>
      <c r="DX8" s="61">
        <f t="shared" si="54"/>
        <v>3</v>
      </c>
      <c r="DY8" s="85">
        <f>IF($A8="x",$L8*SUMIFS($AF8:$DK8,$AF$4:$DK$4,Jahresscheiben!C$2)/2,0)</f>
        <v>12</v>
      </c>
      <c r="DZ8" s="85">
        <f>IF($A8="x",$L8*SUMIFS($AF8:$DK8,$AF$4:$DK$4,Jahresscheiben!D$2)/2,0)</f>
        <v>0</v>
      </c>
      <c r="EA8" s="85">
        <f>IF($A8="x",$L8*SUMIFS($AF8:$DK8,$AF$4:$DK$4,Jahresscheiben!E$2)/2,0)</f>
        <v>0</v>
      </c>
      <c r="EB8" s="85">
        <f>IF($A8="x",$L8*SUMIFS($AF8:$DK8,$AF$4:$DK$4,Jahresscheiben!F$2)/2,0)</f>
        <v>0</v>
      </c>
      <c r="EC8" s="85">
        <f>IF($A8="x",$L8*SUMIFS($AF8:$DK8,$AF$4:$DK$4,Jahresscheiben!G$2)/2,0)</f>
        <v>0</v>
      </c>
      <c r="ED8" s="85">
        <f>IF($A8="x",$L8*SUMIFS($AF8:$DK8,$AF$4:$DK$4,Jahresscheiben!H$2)/2,0)</f>
        <v>0</v>
      </c>
      <c r="EE8" s="85">
        <f>IF($A8="x",$L8*SUMIFS($AF8:$DK8,$AF$4:$DK$4,Jahresscheiben!I$2)/2,0)</f>
        <v>0</v>
      </c>
      <c r="EF8" s="85"/>
      <c r="EG8" s="61">
        <f t="shared" si="55"/>
        <v>3</v>
      </c>
      <c r="EH8" s="85" cm="1">
        <f t="array" ref="EH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0.86076298030574294</v>
      </c>
      <c r="EI8" s="85" cm="1">
        <f t="array" ref="EI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0</v>
      </c>
      <c r="EJ8" s="85" cm="1">
        <f t="array" ref="EJ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</v>
      </c>
      <c r="EK8" s="85" cm="1">
        <f t="array" ref="EK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8" s="85" cm="1">
        <f t="array" ref="EL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8" s="85" cm="1">
        <f t="array" ref="EM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8" s="85" cm="1">
        <f t="array" ref="EN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8" s="85"/>
      <c r="EQ8" s="61">
        <f t="shared" si="56"/>
        <v>3</v>
      </c>
      <c r="ER8" s="62">
        <f>IF($A8&lt;&gt;"x",$P8*SUMIFS($AF8:$DK8,$AF$4:$DK$4,Jahresscheiben!C$2),0)</f>
        <v>0</v>
      </c>
      <c r="ES8" s="62">
        <f>IF($A8&lt;&gt;"x",$P8*SUMIFS($AF8:$DK8,$AF$4:$DK$4,Jahresscheiben!D$2),0)</f>
        <v>0</v>
      </c>
      <c r="ET8" s="62">
        <f>IF($A8&lt;&gt;"x",$P8*SUMIFS($AF8:$DK8,$AF$4:$DK$4,Jahresscheiben!E$2),0)</f>
        <v>0</v>
      </c>
      <c r="EU8" s="62">
        <f>IF($A8&lt;&gt;"x",$P8*SUMIFS($AF8:$DK8,$AF$4:$DK$4,Jahresscheiben!F$2),0)</f>
        <v>0</v>
      </c>
      <c r="EV8" s="62">
        <f>IF($A8&lt;&gt;"x",$P8*SUMIFS($AF8:$DK8,$AF$4:$DK$4,Jahresscheiben!G$2),0)</f>
        <v>0</v>
      </c>
      <c r="EW8" s="62">
        <f>IF($A8&lt;&gt;"x",$P8*SUMIFS($AF8:$DK8,$AF$4:$DK$4,Jahresscheiben!H$2),0)</f>
        <v>0</v>
      </c>
      <c r="EX8" s="62">
        <f>IF($A8&lt;&gt;"x",$P8*SUMIFS($AF8:$DK8,$AF$4:$DK$4,Jahresscheiben!I$2),0)</f>
        <v>0</v>
      </c>
      <c r="EY8" s="85"/>
      <c r="EZ8" s="61">
        <f t="shared" si="57"/>
        <v>3</v>
      </c>
      <c r="FA8" s="85">
        <f>IF($A8="x",$P8*SUMIFS($AF8:$DK8,$AF$4:$DK$4,Jahresscheiben!C$2)/2,0)</f>
        <v>12</v>
      </c>
      <c r="FB8" s="85">
        <f>IF($A8="x",$P8*SUMIFS($AF8:$DK8,$AF$4:$DK$4,Jahresscheiben!D$2)/2,0)</f>
        <v>0</v>
      </c>
      <c r="FC8" s="85">
        <f>IF($A8="x",$P8*SUMIFS($AF8:$DK8,$AF$4:$DK$4,Jahresscheiben!E$2)/2,0)</f>
        <v>0</v>
      </c>
      <c r="FD8" s="85">
        <f>IF($A8="x",$P8*SUMIFS($AF8:$DK8,$AF$4:$DK$4,Jahresscheiben!F$2)/2,0)</f>
        <v>0</v>
      </c>
      <c r="FE8" s="85">
        <f>IF($A8="x",$P8*SUMIFS($AF8:$DK8,$AF$4:$DK$4,Jahresscheiben!G$2)/2,0)</f>
        <v>0</v>
      </c>
      <c r="FF8" s="85">
        <f>IF($A8="x",$P8*SUMIFS($AF8:$DK8,$AF$4:$DK$4,Jahresscheiben!H$2)/2,0)</f>
        <v>0</v>
      </c>
      <c r="FG8" s="85">
        <f>IF($A8="x",$P8*SUMIFS($AF8:$DK8,$AF$4:$DK$4,Jahresscheiben!I$2)/2,0)</f>
        <v>0</v>
      </c>
      <c r="FH8" s="85"/>
      <c r="FI8" s="61">
        <f t="shared" si="58"/>
        <v>3</v>
      </c>
      <c r="FJ8" s="85" cm="1">
        <f t="array" ref="FJ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0.86076298030574294</v>
      </c>
      <c r="FK8" s="85" cm="1">
        <f t="array" ref="FK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0</v>
      </c>
      <c r="FL8" s="85" cm="1">
        <f t="array" ref="FL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</v>
      </c>
      <c r="FM8" s="85" cm="1">
        <f t="array" ref="FM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8" s="85" cm="1">
        <f t="array" ref="FN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8" s="85" cm="1">
        <f t="array" ref="FO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8" s="85" cm="1">
        <f t="array" ref="FP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9" spans="1:172" ht="17" customHeight="1" thickBot="1" x14ac:dyDescent="0.55000000000000004">
      <c r="A9" s="30" t="s">
        <v>24</v>
      </c>
      <c r="B9" s="31">
        <f t="shared" si="50"/>
        <v>145</v>
      </c>
      <c r="C9" s="22">
        <f t="shared" si="51"/>
        <v>4</v>
      </c>
      <c r="D9" s="71" t="s">
        <v>54</v>
      </c>
      <c r="E9" s="26"/>
      <c r="F9" s="26">
        <v>2</v>
      </c>
      <c r="G9" s="26">
        <v>4</v>
      </c>
      <c r="H9" s="26"/>
      <c r="I9" s="6">
        <f t="shared" si="40"/>
        <v>46081</v>
      </c>
      <c r="J9" s="6">
        <f t="shared" si="41"/>
        <v>46142</v>
      </c>
      <c r="K9" s="26"/>
      <c r="L9" s="53">
        <v>6</v>
      </c>
      <c r="M9" s="60" cm="1">
        <f t="array" ref="M9" xml:space="preserve">
_xlfn.LET(
_xlpm.Z, _xlfn._xlws.FILTER($DY$6:$EE$65,$DX$6:$DX$65=C9),
_xlpm.Q,_xlfn._xlws.FILTER($DP$6:$DV$65,$DO$6:$DO$65=C9),
IF($A9="x",SUMPRODUCT(_xlpm.Z,$DY$73:$EE$73,EH9:EN9),SUMPRODUCT(_xlpm.Q,$DP$73:$DV$73)))</f>
        <v>0</v>
      </c>
      <c r="N9" s="54" t="str" cm="1">
        <f t="array" ref="N9" xml:space="preserve">
_xlfn.LET(
_xlpm.Z, SUM(IF($A9="x",_xlfn._xlws.FILTER($M$6:$M$65,$A$6:$A$65="x"),_xlfn._xlws.FILTER($M$6:$M$65,$A$6:$A$65&lt;&gt;"x"))),
IF(_xlpm.Z&lt;&gt;0,M9/_xlpm.Z,""))</f>
        <v/>
      </c>
      <c r="O9" s="26"/>
      <c r="P9" s="53">
        <f t="shared" si="52"/>
        <v>6</v>
      </c>
      <c r="Q9" s="60" cm="1">
        <f t="array" ref="Q9" xml:space="preserve">
_xlfn.LET(
_xlpm.Z, _xlfn._xlws.FILTER($FA$6:$FG$65,$EZ$6:$EZ$65=C9),
_xlpm.Q,_xlfn._xlws.FILTER($ER$6:$EX$65,$EQ$6:$EQ$65=C9),
IF($A9="x",SUMPRODUCT(_xlpm.Z,$FA$73:$FG$73,FJ9:FP9),SUMPRODUCT(_xlpm.Q,$ER$73:$EX$73)))</f>
        <v>0</v>
      </c>
      <c r="R9" s="54" t="str" cm="1">
        <f t="array" ref="R9" xml:space="preserve">
_xlfn.LET(
_xlpm.Z, SUM(IF($A9="x",_xlfn._xlws.FILTER($Q$6:$Q$65,$A$6:$A$65="x"),_xlfn._xlws.FILTER($Q$6:$Q$65,$A$6:$A$65&lt;&gt;"x"))),
IF(_xlpm.Z&lt;&gt;0,Q9/_xlpm.Z,""))</f>
        <v/>
      </c>
      <c r="S9" s="26"/>
      <c r="T9" s="52"/>
      <c r="U9" s="52"/>
      <c r="V9" s="52"/>
      <c r="W9" s="52"/>
      <c r="X9" s="52"/>
      <c r="Y9" s="27"/>
      <c r="Z9" s="27"/>
      <c r="AA9" s="27"/>
      <c r="AB9" s="27"/>
      <c r="AC9" s="27"/>
      <c r="AD9" s="28"/>
      <c r="AE9" s="28"/>
      <c r="AF9" s="23" t="str">
        <f t="shared" si="42"/>
        <v/>
      </c>
      <c r="AG9" s="23">
        <f t="shared" si="42"/>
        <v>2</v>
      </c>
      <c r="AH9" s="23">
        <f t="shared" si="42"/>
        <v>2</v>
      </c>
      <c r="AI9" s="23">
        <f t="shared" si="42"/>
        <v>2</v>
      </c>
      <c r="AJ9" s="23" t="str">
        <f t="shared" si="42"/>
        <v/>
      </c>
      <c r="AK9" s="23" t="str">
        <f t="shared" si="42"/>
        <v/>
      </c>
      <c r="AL9" s="23" t="str">
        <f t="shared" si="42"/>
        <v/>
      </c>
      <c r="AM9" s="23" t="str">
        <f t="shared" si="42"/>
        <v/>
      </c>
      <c r="AN9" s="23" t="str">
        <f t="shared" si="42"/>
        <v/>
      </c>
      <c r="AO9" s="23" t="str">
        <f t="shared" si="42"/>
        <v/>
      </c>
      <c r="AP9" s="23" t="str">
        <f t="shared" si="43"/>
        <v/>
      </c>
      <c r="AQ9" s="23" t="str">
        <f t="shared" si="43"/>
        <v/>
      </c>
      <c r="AR9" s="23" t="str">
        <f t="shared" si="43"/>
        <v/>
      </c>
      <c r="AS9" s="23" t="str">
        <f t="shared" si="43"/>
        <v/>
      </c>
      <c r="AT9" s="23" t="str">
        <f t="shared" si="43"/>
        <v/>
      </c>
      <c r="AU9" s="23" t="str">
        <f t="shared" si="43"/>
        <v/>
      </c>
      <c r="AV9" s="23" t="str">
        <f t="shared" si="43"/>
        <v/>
      </c>
      <c r="AW9" s="23" t="str">
        <f t="shared" si="43"/>
        <v/>
      </c>
      <c r="AX9" s="23" t="str">
        <f t="shared" si="43"/>
        <v/>
      </c>
      <c r="AY9" s="23" t="str">
        <f t="shared" si="43"/>
        <v/>
      </c>
      <c r="AZ9" s="23" t="str">
        <f t="shared" si="44"/>
        <v/>
      </c>
      <c r="BA9" s="23" t="str">
        <f t="shared" si="44"/>
        <v/>
      </c>
      <c r="BB9" s="23" t="str">
        <f t="shared" si="44"/>
        <v/>
      </c>
      <c r="BC9" s="23" t="str">
        <f t="shared" si="44"/>
        <v/>
      </c>
      <c r="BD9" s="23" t="str">
        <f t="shared" si="44"/>
        <v/>
      </c>
      <c r="BE9" s="23" t="str">
        <f t="shared" si="44"/>
        <v/>
      </c>
      <c r="BF9" s="23" t="str">
        <f t="shared" si="44"/>
        <v/>
      </c>
      <c r="BG9" s="23" t="str">
        <f t="shared" si="44"/>
        <v/>
      </c>
      <c r="BH9" s="23" t="str">
        <f t="shared" si="44"/>
        <v/>
      </c>
      <c r="BI9" s="23" t="str">
        <f t="shared" si="44"/>
        <v/>
      </c>
      <c r="BJ9" s="23" t="str">
        <f t="shared" si="45"/>
        <v/>
      </c>
      <c r="BK9" s="23" t="str">
        <f t="shared" si="45"/>
        <v/>
      </c>
      <c r="BL9" s="23" t="str">
        <f t="shared" si="45"/>
        <v/>
      </c>
      <c r="BM9" s="23" t="str">
        <f t="shared" si="45"/>
        <v/>
      </c>
      <c r="BN9" s="23" t="str">
        <f t="shared" si="45"/>
        <v/>
      </c>
      <c r="BO9" s="23" t="str">
        <f t="shared" si="45"/>
        <v/>
      </c>
      <c r="BP9" s="23" t="str">
        <f t="shared" si="45"/>
        <v/>
      </c>
      <c r="BQ9" s="23" t="str">
        <f t="shared" si="45"/>
        <v/>
      </c>
      <c r="BR9" s="23" t="str">
        <f t="shared" si="45"/>
        <v/>
      </c>
      <c r="BS9" s="23" t="str">
        <f t="shared" si="45"/>
        <v/>
      </c>
      <c r="BT9" s="23" t="str">
        <f t="shared" si="46"/>
        <v/>
      </c>
      <c r="BU9" s="23" t="str">
        <f t="shared" si="46"/>
        <v/>
      </c>
      <c r="BV9" s="23" t="str">
        <f t="shared" si="46"/>
        <v/>
      </c>
      <c r="BW9" s="23" t="str">
        <f t="shared" si="46"/>
        <v/>
      </c>
      <c r="BX9" s="23" t="str">
        <f t="shared" si="46"/>
        <v/>
      </c>
      <c r="BY9" s="23" t="str">
        <f t="shared" si="46"/>
        <v/>
      </c>
      <c r="BZ9" s="23" t="str">
        <f t="shared" si="46"/>
        <v/>
      </c>
      <c r="CA9" s="23" t="str">
        <f t="shared" si="46"/>
        <v/>
      </c>
      <c r="CB9" s="23" t="str">
        <f t="shared" si="46"/>
        <v/>
      </c>
      <c r="CC9" s="23" t="str">
        <f t="shared" si="46"/>
        <v/>
      </c>
      <c r="CD9" s="23" t="str">
        <f t="shared" si="47"/>
        <v/>
      </c>
      <c r="CE9" s="23" t="str">
        <f t="shared" si="47"/>
        <v/>
      </c>
      <c r="CF9" s="23" t="str">
        <f t="shared" si="47"/>
        <v/>
      </c>
      <c r="CG9" s="23" t="str">
        <f t="shared" si="47"/>
        <v/>
      </c>
      <c r="CH9" s="23" t="str">
        <f t="shared" si="47"/>
        <v/>
      </c>
      <c r="CI9" s="23" t="str">
        <f t="shared" si="47"/>
        <v/>
      </c>
      <c r="CJ9" s="23" t="str">
        <f t="shared" si="47"/>
        <v/>
      </c>
      <c r="CK9" s="23" t="str">
        <f t="shared" si="47"/>
        <v/>
      </c>
      <c r="CL9" s="23" t="str">
        <f t="shared" si="47"/>
        <v/>
      </c>
      <c r="CM9" s="23" t="str">
        <f t="shared" si="47"/>
        <v/>
      </c>
      <c r="CN9" s="23" t="str">
        <f t="shared" si="48"/>
        <v/>
      </c>
      <c r="CO9" s="23" t="str">
        <f t="shared" si="48"/>
        <v/>
      </c>
      <c r="CP9" s="23" t="str">
        <f t="shared" si="48"/>
        <v/>
      </c>
      <c r="CQ9" s="23" t="str">
        <f t="shared" si="48"/>
        <v/>
      </c>
      <c r="CR9" s="23" t="str">
        <f t="shared" si="48"/>
        <v/>
      </c>
      <c r="CS9" s="23" t="str">
        <f t="shared" si="48"/>
        <v/>
      </c>
      <c r="CT9" s="23" t="str">
        <f t="shared" si="48"/>
        <v/>
      </c>
      <c r="CU9" s="23" t="str">
        <f t="shared" si="48"/>
        <v/>
      </c>
      <c r="CV9" s="23" t="str">
        <f t="shared" si="48"/>
        <v/>
      </c>
      <c r="CW9" s="23" t="str">
        <f t="shared" si="48"/>
        <v/>
      </c>
      <c r="CX9" s="23" t="str">
        <f t="shared" si="49"/>
        <v/>
      </c>
      <c r="CY9" s="23" t="str">
        <f t="shared" si="49"/>
        <v/>
      </c>
      <c r="CZ9" s="23" t="str">
        <f t="shared" si="49"/>
        <v/>
      </c>
      <c r="DA9" s="23" t="str">
        <f t="shared" si="49"/>
        <v/>
      </c>
      <c r="DB9" s="23" t="str">
        <f t="shared" si="49"/>
        <v/>
      </c>
      <c r="DC9" s="23" t="str">
        <f t="shared" si="49"/>
        <v/>
      </c>
      <c r="DD9" s="23" t="str">
        <f t="shared" si="49"/>
        <v/>
      </c>
      <c r="DE9" s="23" t="str">
        <f t="shared" si="49"/>
        <v/>
      </c>
      <c r="DF9" s="23" t="str">
        <f t="shared" si="49"/>
        <v/>
      </c>
      <c r="DG9" s="23" t="str">
        <f t="shared" si="49"/>
        <v/>
      </c>
      <c r="DH9" s="23" t="str">
        <f t="shared" si="49"/>
        <v/>
      </c>
      <c r="DI9" s="23" t="str">
        <f t="shared" si="49"/>
        <v/>
      </c>
      <c r="DJ9" s="23" t="str">
        <f t="shared" si="49"/>
        <v/>
      </c>
      <c r="DK9" s="23" t="str">
        <f t="shared" si="49"/>
        <v/>
      </c>
      <c r="DO9" s="61">
        <f t="shared" si="53"/>
        <v>4</v>
      </c>
      <c r="DP9" s="61">
        <f>IF($A9&lt;&gt;"x",$L9*SUMIFS($AF9:$DK9,$AF$4:$DK$4,Jahresscheiben!C$2),0)</f>
        <v>0</v>
      </c>
      <c r="DQ9" s="61">
        <f>IF($A9&lt;&gt;"x",$L9*SUMIFS($AF9:$DK9,$AF$4:$DK$4,Jahresscheiben!D$2),0)</f>
        <v>0</v>
      </c>
      <c r="DR9" s="61">
        <f>IF($A9&lt;&gt;"x",$L9*SUMIFS($AF9:$DK9,$AF$4:$DK$4,Jahresscheiben!E$2),0)</f>
        <v>0</v>
      </c>
      <c r="DS9" s="61">
        <f>IF($A9&lt;&gt;"x",$L9*SUMIFS($AF9:$DK9,$AF$4:$DK$4,Jahresscheiben!F$2),0)</f>
        <v>0</v>
      </c>
      <c r="DT9" s="61">
        <f>IF($A9&lt;&gt;"x",$L9*SUMIFS($AF9:$DK9,$AF$4:$DK$4,Jahresscheiben!G$2),0)</f>
        <v>0</v>
      </c>
      <c r="DU9" s="61">
        <f>IF($A9&lt;&gt;"x",$L9*SUMIFS($AF9:$DK9,$AF$4:$DK$4,Jahresscheiben!H$2),0)</f>
        <v>0</v>
      </c>
      <c r="DV9" s="61">
        <f>IF($A9&lt;&gt;"x",$L9*SUMIFS($AF9:$DK9,$AF$4:$DK$4,Jahresscheiben!I$2),0)</f>
        <v>0</v>
      </c>
      <c r="DW9" s="85"/>
      <c r="DX9" s="61">
        <f t="shared" si="54"/>
        <v>4</v>
      </c>
      <c r="DY9" s="85">
        <f>IF($A9="x",$L9*SUMIFS($AF9:$DK9,$AF$4:$DK$4,Jahresscheiben!C$2)/2,0)</f>
        <v>18</v>
      </c>
      <c r="DZ9" s="85">
        <f>IF($A9="x",$L9*SUMIFS($AF9:$DK9,$AF$4:$DK$4,Jahresscheiben!D$2)/2,0)</f>
        <v>0</v>
      </c>
      <c r="EA9" s="85">
        <f>IF($A9="x",$L9*SUMIFS($AF9:$DK9,$AF$4:$DK$4,Jahresscheiben!E$2)/2,0)</f>
        <v>0</v>
      </c>
      <c r="EB9" s="85">
        <f>IF($A9="x",$L9*SUMIFS($AF9:$DK9,$AF$4:$DK$4,Jahresscheiben!F$2)/2,0)</f>
        <v>0</v>
      </c>
      <c r="EC9" s="85">
        <f>IF($A9="x",$L9*SUMIFS($AF9:$DK9,$AF$4:$DK$4,Jahresscheiben!G$2)/2,0)</f>
        <v>0</v>
      </c>
      <c r="ED9" s="85">
        <f>IF($A9="x",$L9*SUMIFS($AF9:$DK9,$AF$4:$DK$4,Jahresscheiben!H$2)/2,0)</f>
        <v>0</v>
      </c>
      <c r="EE9" s="85">
        <f>IF($A9="x",$L9*SUMIFS($AF9:$DK9,$AF$4:$DK$4,Jahresscheiben!I$2)/2,0)</f>
        <v>0</v>
      </c>
      <c r="EF9" s="85"/>
      <c r="EG9" s="61">
        <f t="shared" si="55"/>
        <v>4</v>
      </c>
      <c r="EH9" s="85" cm="1">
        <f t="array" ref="EH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0.86076298030574294</v>
      </c>
      <c r="EI9" s="85" cm="1">
        <f t="array" ref="EI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0</v>
      </c>
      <c r="EJ9" s="85" cm="1">
        <f t="array" ref="EJ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</v>
      </c>
      <c r="EK9" s="85" cm="1">
        <f t="array" ref="EK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9" s="85" cm="1">
        <f t="array" ref="EL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9" s="85" cm="1">
        <f t="array" ref="EM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9" s="85" cm="1">
        <f t="array" ref="EN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9" s="85"/>
      <c r="EQ9" s="61">
        <f t="shared" si="56"/>
        <v>4</v>
      </c>
      <c r="ER9" s="62">
        <f>IF($A9&lt;&gt;"x",$P9*SUMIFS($AF9:$DK9,$AF$4:$DK$4,Jahresscheiben!C$2),0)</f>
        <v>0</v>
      </c>
      <c r="ES9" s="62">
        <f>IF($A9&lt;&gt;"x",$P9*SUMIFS($AF9:$DK9,$AF$4:$DK$4,Jahresscheiben!D$2),0)</f>
        <v>0</v>
      </c>
      <c r="ET9" s="62">
        <f>IF($A9&lt;&gt;"x",$P9*SUMIFS($AF9:$DK9,$AF$4:$DK$4,Jahresscheiben!E$2),0)</f>
        <v>0</v>
      </c>
      <c r="EU9" s="62">
        <f>IF($A9&lt;&gt;"x",$P9*SUMIFS($AF9:$DK9,$AF$4:$DK$4,Jahresscheiben!F$2),0)</f>
        <v>0</v>
      </c>
      <c r="EV9" s="62">
        <f>IF($A9&lt;&gt;"x",$P9*SUMIFS($AF9:$DK9,$AF$4:$DK$4,Jahresscheiben!G$2),0)</f>
        <v>0</v>
      </c>
      <c r="EW9" s="62">
        <f>IF($A9&lt;&gt;"x",$P9*SUMIFS($AF9:$DK9,$AF$4:$DK$4,Jahresscheiben!H$2),0)</f>
        <v>0</v>
      </c>
      <c r="EX9" s="62">
        <f>IF($A9&lt;&gt;"x",$P9*SUMIFS($AF9:$DK9,$AF$4:$DK$4,Jahresscheiben!I$2),0)</f>
        <v>0</v>
      </c>
      <c r="EY9" s="85"/>
      <c r="EZ9" s="61">
        <f t="shared" si="57"/>
        <v>4</v>
      </c>
      <c r="FA9" s="85">
        <f>IF($A9="x",$P9*SUMIFS($AF9:$DK9,$AF$4:$DK$4,Jahresscheiben!C$2)/2,0)</f>
        <v>18</v>
      </c>
      <c r="FB9" s="85">
        <f>IF($A9="x",$P9*SUMIFS($AF9:$DK9,$AF$4:$DK$4,Jahresscheiben!D$2)/2,0)</f>
        <v>0</v>
      </c>
      <c r="FC9" s="85">
        <f>IF($A9="x",$P9*SUMIFS($AF9:$DK9,$AF$4:$DK$4,Jahresscheiben!E$2)/2,0)</f>
        <v>0</v>
      </c>
      <c r="FD9" s="85">
        <f>IF($A9="x",$P9*SUMIFS($AF9:$DK9,$AF$4:$DK$4,Jahresscheiben!F$2)/2,0)</f>
        <v>0</v>
      </c>
      <c r="FE9" s="85">
        <f>IF($A9="x",$P9*SUMIFS($AF9:$DK9,$AF$4:$DK$4,Jahresscheiben!G$2)/2,0)</f>
        <v>0</v>
      </c>
      <c r="FF9" s="85">
        <f>IF($A9="x",$P9*SUMIFS($AF9:$DK9,$AF$4:$DK$4,Jahresscheiben!H$2)/2,0)</f>
        <v>0</v>
      </c>
      <c r="FG9" s="85">
        <f>IF($A9="x",$P9*SUMIFS($AF9:$DK9,$AF$4:$DK$4,Jahresscheiben!I$2)/2,0)</f>
        <v>0</v>
      </c>
      <c r="FH9" s="85"/>
      <c r="FI9" s="61">
        <f t="shared" si="58"/>
        <v>4</v>
      </c>
      <c r="FJ9" s="85" cm="1">
        <f t="array" ref="FJ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0.86076298030574294</v>
      </c>
      <c r="FK9" s="85" cm="1">
        <f t="array" ref="FK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0</v>
      </c>
      <c r="FL9" s="85" cm="1">
        <f t="array" ref="FL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</v>
      </c>
      <c r="FM9" s="85" cm="1">
        <f t="array" ref="FM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9" s="85" cm="1">
        <f t="array" ref="FN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9" s="85" cm="1">
        <f t="array" ref="FO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9" s="85" cm="1">
        <f t="array" ref="FP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10" spans="1:172" ht="17" customHeight="1" thickBot="1" x14ac:dyDescent="0.55000000000000004">
      <c r="A10" s="30" t="s">
        <v>24</v>
      </c>
      <c r="B10" s="31">
        <f t="shared" si="50"/>
        <v>134</v>
      </c>
      <c r="C10" s="22">
        <f t="shared" si="51"/>
        <v>5</v>
      </c>
      <c r="D10" s="71" t="s">
        <v>55</v>
      </c>
      <c r="E10" s="7"/>
      <c r="F10" s="7">
        <v>3</v>
      </c>
      <c r="G10" s="7">
        <v>5</v>
      </c>
      <c r="H10" s="7"/>
      <c r="I10" s="6">
        <f t="shared" si="40"/>
        <v>46112</v>
      </c>
      <c r="J10" s="6">
        <f t="shared" si="41"/>
        <v>46173</v>
      </c>
      <c r="K10" s="7"/>
      <c r="L10" s="53">
        <v>5</v>
      </c>
      <c r="M10" s="60" cm="1">
        <f t="array" ref="M10" xml:space="preserve">
_xlfn.LET(
_xlpm.Z, _xlfn._xlws.FILTER($DY$6:$EE$65,$DX$6:$DX$65=C10),
_xlpm.Q,_xlfn._xlws.FILTER($DP$6:$DV$65,$DO$6:$DO$65=C10),
IF($A10="x",SUMPRODUCT(_xlpm.Z,$DY$73:$EE$73,EH10:EN10),SUMPRODUCT(_xlpm.Q,$DP$73:$DV$73)))</f>
        <v>0</v>
      </c>
      <c r="N10" s="54" t="str" cm="1">
        <f t="array" ref="N10" xml:space="preserve">
_xlfn.LET(
_xlpm.Z, SUM(IF($A10="x",_xlfn._xlws.FILTER($M$6:$M$65,$A$6:$A$65="x"),_xlfn._xlws.FILTER($M$6:$M$65,$A$6:$A$65&lt;&gt;"x"))),
IF(_xlpm.Z&lt;&gt;0,M10/_xlpm.Z,""))</f>
        <v/>
      </c>
      <c r="O10" s="7"/>
      <c r="P10" s="53">
        <f t="shared" si="52"/>
        <v>5</v>
      </c>
      <c r="Q10" s="60" cm="1">
        <f t="array" ref="Q10" xml:space="preserve">
_xlfn.LET(
_xlpm.Z, _xlfn._xlws.FILTER($FA$6:$FG$65,$EZ$6:$EZ$65=C10),
_xlpm.Q,_xlfn._xlws.FILTER($ER$6:$EX$65,$EQ$6:$EQ$65=C10),
IF($A10="x",SUMPRODUCT(_xlpm.Z,$FA$73:$FG$73,FJ10:FP10),SUMPRODUCT(_xlpm.Q,$ER$73:$EX$73)))</f>
        <v>0</v>
      </c>
      <c r="R10" s="54" t="str" cm="1">
        <f t="array" ref="R10" xml:space="preserve">
_xlfn.LET(
_xlpm.Z, SUM(IF($A10="x",_xlfn._xlws.FILTER($Q$6:$Q$65,$A$6:$A$65="x"),_xlfn._xlws.FILTER($Q$6:$Q$65,$A$6:$A$65&lt;&gt;"x"))),
IF(_xlpm.Z&lt;&gt;0,Q10/_xlpm.Z,""))</f>
        <v/>
      </c>
      <c r="S10" s="7"/>
      <c r="T10" s="51"/>
      <c r="U10" s="51"/>
      <c r="V10" s="51"/>
      <c r="W10" s="51"/>
      <c r="X10" s="51"/>
      <c r="Y10" s="6"/>
      <c r="Z10" s="6"/>
      <c r="AA10" s="6"/>
      <c r="AB10" s="6"/>
      <c r="AC10" s="6"/>
      <c r="AD10" s="7"/>
      <c r="AE10" s="7"/>
      <c r="AF10" s="23" t="str">
        <f t="shared" si="42"/>
        <v/>
      </c>
      <c r="AG10" s="23" t="str">
        <f t="shared" si="42"/>
        <v/>
      </c>
      <c r="AH10" s="23">
        <f t="shared" si="42"/>
        <v>2</v>
      </c>
      <c r="AI10" s="23">
        <f t="shared" si="42"/>
        <v>2</v>
      </c>
      <c r="AJ10" s="23">
        <f t="shared" si="42"/>
        <v>2</v>
      </c>
      <c r="AK10" s="23" t="str">
        <f t="shared" si="42"/>
        <v/>
      </c>
      <c r="AL10" s="23" t="str">
        <f t="shared" si="42"/>
        <v/>
      </c>
      <c r="AM10" s="23" t="str">
        <f t="shared" si="42"/>
        <v/>
      </c>
      <c r="AN10" s="23" t="str">
        <f t="shared" si="42"/>
        <v/>
      </c>
      <c r="AO10" s="23" t="str">
        <f t="shared" si="42"/>
        <v/>
      </c>
      <c r="AP10" s="23" t="str">
        <f t="shared" si="43"/>
        <v/>
      </c>
      <c r="AQ10" s="23" t="str">
        <f t="shared" si="43"/>
        <v/>
      </c>
      <c r="AR10" s="23" t="str">
        <f t="shared" si="43"/>
        <v/>
      </c>
      <c r="AS10" s="23" t="str">
        <f t="shared" si="43"/>
        <v/>
      </c>
      <c r="AT10" s="23" t="str">
        <f t="shared" si="43"/>
        <v/>
      </c>
      <c r="AU10" s="23" t="str">
        <f t="shared" si="43"/>
        <v/>
      </c>
      <c r="AV10" s="23" t="str">
        <f t="shared" si="43"/>
        <v/>
      </c>
      <c r="AW10" s="23" t="str">
        <f t="shared" si="43"/>
        <v/>
      </c>
      <c r="AX10" s="23" t="str">
        <f t="shared" si="43"/>
        <v/>
      </c>
      <c r="AY10" s="23" t="str">
        <f t="shared" si="43"/>
        <v/>
      </c>
      <c r="AZ10" s="23" t="str">
        <f t="shared" si="44"/>
        <v/>
      </c>
      <c r="BA10" s="23" t="str">
        <f t="shared" si="44"/>
        <v/>
      </c>
      <c r="BB10" s="23" t="str">
        <f t="shared" si="44"/>
        <v/>
      </c>
      <c r="BC10" s="23" t="str">
        <f t="shared" si="44"/>
        <v/>
      </c>
      <c r="BD10" s="23" t="str">
        <f t="shared" si="44"/>
        <v/>
      </c>
      <c r="BE10" s="23" t="str">
        <f t="shared" si="44"/>
        <v/>
      </c>
      <c r="BF10" s="23" t="str">
        <f t="shared" si="44"/>
        <v/>
      </c>
      <c r="BG10" s="23" t="str">
        <f t="shared" si="44"/>
        <v/>
      </c>
      <c r="BH10" s="23" t="str">
        <f t="shared" si="44"/>
        <v/>
      </c>
      <c r="BI10" s="23" t="str">
        <f t="shared" si="44"/>
        <v/>
      </c>
      <c r="BJ10" s="23" t="str">
        <f t="shared" si="45"/>
        <v/>
      </c>
      <c r="BK10" s="23" t="str">
        <f t="shared" si="45"/>
        <v/>
      </c>
      <c r="BL10" s="23" t="str">
        <f t="shared" si="45"/>
        <v/>
      </c>
      <c r="BM10" s="23" t="str">
        <f t="shared" si="45"/>
        <v/>
      </c>
      <c r="BN10" s="23" t="str">
        <f t="shared" si="45"/>
        <v/>
      </c>
      <c r="BO10" s="23" t="str">
        <f t="shared" si="45"/>
        <v/>
      </c>
      <c r="BP10" s="23" t="str">
        <f t="shared" si="45"/>
        <v/>
      </c>
      <c r="BQ10" s="23" t="str">
        <f t="shared" si="45"/>
        <v/>
      </c>
      <c r="BR10" s="23" t="str">
        <f t="shared" si="45"/>
        <v/>
      </c>
      <c r="BS10" s="23" t="str">
        <f t="shared" si="45"/>
        <v/>
      </c>
      <c r="BT10" s="23" t="str">
        <f t="shared" si="46"/>
        <v/>
      </c>
      <c r="BU10" s="23" t="str">
        <f t="shared" si="46"/>
        <v/>
      </c>
      <c r="BV10" s="23" t="str">
        <f t="shared" si="46"/>
        <v/>
      </c>
      <c r="BW10" s="23" t="str">
        <f t="shared" si="46"/>
        <v/>
      </c>
      <c r="BX10" s="23" t="str">
        <f t="shared" si="46"/>
        <v/>
      </c>
      <c r="BY10" s="23" t="str">
        <f t="shared" si="46"/>
        <v/>
      </c>
      <c r="BZ10" s="23" t="str">
        <f t="shared" si="46"/>
        <v/>
      </c>
      <c r="CA10" s="23" t="str">
        <f t="shared" si="46"/>
        <v/>
      </c>
      <c r="CB10" s="23" t="str">
        <f t="shared" si="46"/>
        <v/>
      </c>
      <c r="CC10" s="23" t="str">
        <f t="shared" si="46"/>
        <v/>
      </c>
      <c r="CD10" s="23" t="str">
        <f t="shared" si="47"/>
        <v/>
      </c>
      <c r="CE10" s="23" t="str">
        <f t="shared" si="47"/>
        <v/>
      </c>
      <c r="CF10" s="23" t="str">
        <f t="shared" si="47"/>
        <v/>
      </c>
      <c r="CG10" s="23" t="str">
        <f t="shared" si="47"/>
        <v/>
      </c>
      <c r="CH10" s="23" t="str">
        <f t="shared" si="47"/>
        <v/>
      </c>
      <c r="CI10" s="23" t="str">
        <f t="shared" si="47"/>
        <v/>
      </c>
      <c r="CJ10" s="23" t="str">
        <f t="shared" si="47"/>
        <v/>
      </c>
      <c r="CK10" s="23" t="str">
        <f t="shared" si="47"/>
        <v/>
      </c>
      <c r="CL10" s="23" t="str">
        <f t="shared" si="47"/>
        <v/>
      </c>
      <c r="CM10" s="23" t="str">
        <f t="shared" si="47"/>
        <v/>
      </c>
      <c r="CN10" s="23" t="str">
        <f t="shared" si="48"/>
        <v/>
      </c>
      <c r="CO10" s="23" t="str">
        <f t="shared" si="48"/>
        <v/>
      </c>
      <c r="CP10" s="23" t="str">
        <f t="shared" si="48"/>
        <v/>
      </c>
      <c r="CQ10" s="23" t="str">
        <f t="shared" si="48"/>
        <v/>
      </c>
      <c r="CR10" s="23" t="str">
        <f t="shared" si="48"/>
        <v/>
      </c>
      <c r="CS10" s="23" t="str">
        <f t="shared" si="48"/>
        <v/>
      </c>
      <c r="CT10" s="23" t="str">
        <f t="shared" si="48"/>
        <v/>
      </c>
      <c r="CU10" s="23" t="str">
        <f t="shared" si="48"/>
        <v/>
      </c>
      <c r="CV10" s="23" t="str">
        <f t="shared" si="48"/>
        <v/>
      </c>
      <c r="CW10" s="23" t="str">
        <f t="shared" si="48"/>
        <v/>
      </c>
      <c r="CX10" s="23" t="str">
        <f t="shared" si="49"/>
        <v/>
      </c>
      <c r="CY10" s="23" t="str">
        <f t="shared" si="49"/>
        <v/>
      </c>
      <c r="CZ10" s="23" t="str">
        <f t="shared" si="49"/>
        <v/>
      </c>
      <c r="DA10" s="23" t="str">
        <f t="shared" si="49"/>
        <v/>
      </c>
      <c r="DB10" s="23" t="str">
        <f t="shared" si="49"/>
        <v/>
      </c>
      <c r="DC10" s="23" t="str">
        <f t="shared" si="49"/>
        <v/>
      </c>
      <c r="DD10" s="23" t="str">
        <f t="shared" si="49"/>
        <v/>
      </c>
      <c r="DE10" s="23" t="str">
        <f t="shared" si="49"/>
        <v/>
      </c>
      <c r="DF10" s="23" t="str">
        <f t="shared" si="49"/>
        <v/>
      </c>
      <c r="DG10" s="23" t="str">
        <f t="shared" si="49"/>
        <v/>
      </c>
      <c r="DH10" s="23" t="str">
        <f t="shared" si="49"/>
        <v/>
      </c>
      <c r="DI10" s="23" t="str">
        <f t="shared" si="49"/>
        <v/>
      </c>
      <c r="DJ10" s="23" t="str">
        <f t="shared" si="49"/>
        <v/>
      </c>
      <c r="DK10" s="23" t="str">
        <f t="shared" si="49"/>
        <v/>
      </c>
      <c r="DO10" s="61">
        <f t="shared" si="53"/>
        <v>5</v>
      </c>
      <c r="DP10" s="61">
        <f>IF($A10&lt;&gt;"x",$L10*SUMIFS($AF10:$DK10,$AF$4:$DK$4,Jahresscheiben!C$2),0)</f>
        <v>0</v>
      </c>
      <c r="DQ10" s="61">
        <f>IF($A10&lt;&gt;"x",$L10*SUMIFS($AF10:$DK10,$AF$4:$DK$4,Jahresscheiben!D$2),0)</f>
        <v>0</v>
      </c>
      <c r="DR10" s="61">
        <f>IF($A10&lt;&gt;"x",$L10*SUMIFS($AF10:$DK10,$AF$4:$DK$4,Jahresscheiben!E$2),0)</f>
        <v>0</v>
      </c>
      <c r="DS10" s="61">
        <f>IF($A10&lt;&gt;"x",$L10*SUMIFS($AF10:$DK10,$AF$4:$DK$4,Jahresscheiben!F$2),0)</f>
        <v>0</v>
      </c>
      <c r="DT10" s="61">
        <f>IF($A10&lt;&gt;"x",$L10*SUMIFS($AF10:$DK10,$AF$4:$DK$4,Jahresscheiben!G$2),0)</f>
        <v>0</v>
      </c>
      <c r="DU10" s="61">
        <f>IF($A10&lt;&gt;"x",$L10*SUMIFS($AF10:$DK10,$AF$4:$DK$4,Jahresscheiben!H$2),0)</f>
        <v>0</v>
      </c>
      <c r="DV10" s="61">
        <f>IF($A10&lt;&gt;"x",$L10*SUMIFS($AF10:$DK10,$AF$4:$DK$4,Jahresscheiben!I$2),0)</f>
        <v>0</v>
      </c>
      <c r="DW10" s="85"/>
      <c r="DX10" s="61">
        <f t="shared" si="54"/>
        <v>5</v>
      </c>
      <c r="DY10" s="85">
        <f>IF($A10="x",$L10*SUMIFS($AF10:$DK10,$AF$4:$DK$4,Jahresscheiben!C$2)/2,0)</f>
        <v>15</v>
      </c>
      <c r="DZ10" s="85">
        <f>IF($A10="x",$L10*SUMIFS($AF10:$DK10,$AF$4:$DK$4,Jahresscheiben!D$2)/2,0)</f>
        <v>0</v>
      </c>
      <c r="EA10" s="85">
        <f>IF($A10="x",$L10*SUMIFS($AF10:$DK10,$AF$4:$DK$4,Jahresscheiben!E$2)/2,0)</f>
        <v>0</v>
      </c>
      <c r="EB10" s="85">
        <f>IF($A10="x",$L10*SUMIFS($AF10:$DK10,$AF$4:$DK$4,Jahresscheiben!F$2)/2,0)</f>
        <v>0</v>
      </c>
      <c r="EC10" s="85">
        <f>IF($A10="x",$L10*SUMIFS($AF10:$DK10,$AF$4:$DK$4,Jahresscheiben!G$2)/2,0)</f>
        <v>0</v>
      </c>
      <c r="ED10" s="85">
        <f>IF($A10="x",$L10*SUMIFS($AF10:$DK10,$AF$4:$DK$4,Jahresscheiben!H$2)/2,0)</f>
        <v>0</v>
      </c>
      <c r="EE10" s="85">
        <f>IF($A10="x",$L10*SUMIFS($AF10:$DK10,$AF$4:$DK$4,Jahresscheiben!I$2)/2,0)</f>
        <v>0</v>
      </c>
      <c r="EF10" s="85"/>
      <c r="EG10" s="61">
        <f t="shared" si="55"/>
        <v>5</v>
      </c>
      <c r="EH10" s="85" cm="1">
        <f t="array" ref="EH1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0.86076298030574294</v>
      </c>
      <c r="EI10" s="85" cm="1">
        <f t="array" ref="EI1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0</v>
      </c>
      <c r="EJ10" s="85" cm="1">
        <f t="array" ref="EJ1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</v>
      </c>
      <c r="EK10" s="85" cm="1">
        <f t="array" ref="EK1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10" s="85" cm="1">
        <f t="array" ref="EL1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10" s="85" cm="1">
        <f t="array" ref="EM1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10" s="85" cm="1">
        <f t="array" ref="EN1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10" s="85"/>
      <c r="EQ10" s="61">
        <f t="shared" si="56"/>
        <v>5</v>
      </c>
      <c r="ER10" s="62">
        <f>IF($A10&lt;&gt;"x",$P10*SUMIFS($AF10:$DK10,$AF$4:$DK$4,Jahresscheiben!C$2),0)</f>
        <v>0</v>
      </c>
      <c r="ES10" s="62">
        <f>IF($A10&lt;&gt;"x",$P10*SUMIFS($AF10:$DK10,$AF$4:$DK$4,Jahresscheiben!D$2),0)</f>
        <v>0</v>
      </c>
      <c r="ET10" s="62">
        <f>IF($A10&lt;&gt;"x",$P10*SUMIFS($AF10:$DK10,$AF$4:$DK$4,Jahresscheiben!E$2),0)</f>
        <v>0</v>
      </c>
      <c r="EU10" s="62">
        <f>IF($A10&lt;&gt;"x",$P10*SUMIFS($AF10:$DK10,$AF$4:$DK$4,Jahresscheiben!F$2),0)</f>
        <v>0</v>
      </c>
      <c r="EV10" s="62">
        <f>IF($A10&lt;&gt;"x",$P10*SUMIFS($AF10:$DK10,$AF$4:$DK$4,Jahresscheiben!G$2),0)</f>
        <v>0</v>
      </c>
      <c r="EW10" s="62">
        <f>IF($A10&lt;&gt;"x",$P10*SUMIFS($AF10:$DK10,$AF$4:$DK$4,Jahresscheiben!H$2),0)</f>
        <v>0</v>
      </c>
      <c r="EX10" s="62">
        <f>IF($A10&lt;&gt;"x",$P10*SUMIFS($AF10:$DK10,$AF$4:$DK$4,Jahresscheiben!I$2),0)</f>
        <v>0</v>
      </c>
      <c r="EY10" s="85"/>
      <c r="EZ10" s="61">
        <f t="shared" si="57"/>
        <v>5</v>
      </c>
      <c r="FA10" s="85">
        <f>IF($A10="x",$P10*SUMIFS($AF10:$DK10,$AF$4:$DK$4,Jahresscheiben!C$2)/2,0)</f>
        <v>15</v>
      </c>
      <c r="FB10" s="85">
        <f>IF($A10="x",$P10*SUMIFS($AF10:$DK10,$AF$4:$DK$4,Jahresscheiben!D$2)/2,0)</f>
        <v>0</v>
      </c>
      <c r="FC10" s="85">
        <f>IF($A10="x",$P10*SUMIFS($AF10:$DK10,$AF$4:$DK$4,Jahresscheiben!E$2)/2,0)</f>
        <v>0</v>
      </c>
      <c r="FD10" s="85">
        <f>IF($A10="x",$P10*SUMIFS($AF10:$DK10,$AF$4:$DK$4,Jahresscheiben!F$2)/2,0)</f>
        <v>0</v>
      </c>
      <c r="FE10" s="85">
        <f>IF($A10="x",$P10*SUMIFS($AF10:$DK10,$AF$4:$DK$4,Jahresscheiben!G$2)/2,0)</f>
        <v>0</v>
      </c>
      <c r="FF10" s="85">
        <f>IF($A10="x",$P10*SUMIFS($AF10:$DK10,$AF$4:$DK$4,Jahresscheiben!H$2)/2,0)</f>
        <v>0</v>
      </c>
      <c r="FG10" s="85">
        <f>IF($A10="x",$P10*SUMIFS($AF10:$DK10,$AF$4:$DK$4,Jahresscheiben!I$2)/2,0)</f>
        <v>0</v>
      </c>
      <c r="FH10" s="85"/>
      <c r="FI10" s="61">
        <f t="shared" si="58"/>
        <v>5</v>
      </c>
      <c r="FJ10" s="85" cm="1">
        <f t="array" ref="FJ1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0.86076298030574294</v>
      </c>
      <c r="FK10" s="85" cm="1">
        <f t="array" ref="FK1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0</v>
      </c>
      <c r="FL10" s="85" cm="1">
        <f t="array" ref="FL1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</v>
      </c>
      <c r="FM10" s="85" cm="1">
        <f t="array" ref="FM1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10" s="85" cm="1">
        <f t="array" ref="FN1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10" s="85" cm="1">
        <f t="array" ref="FO1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10" s="85" cm="1">
        <f t="array" ref="FP1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11" spans="1:172" ht="17" customHeight="1" thickBot="1" x14ac:dyDescent="0.55000000000000004">
      <c r="A11" s="30"/>
      <c r="B11" s="31">
        <f t="shared" si="50"/>
        <v>136</v>
      </c>
      <c r="C11" s="22">
        <f t="shared" si="51"/>
        <v>6</v>
      </c>
      <c r="D11" s="71" t="s">
        <v>56</v>
      </c>
      <c r="E11" s="26"/>
      <c r="F11" s="26">
        <v>4</v>
      </c>
      <c r="G11" s="26">
        <v>12</v>
      </c>
      <c r="H11" s="26"/>
      <c r="I11" s="6">
        <f t="shared" si="40"/>
        <v>46142</v>
      </c>
      <c r="J11" s="6">
        <f t="shared" si="41"/>
        <v>46387</v>
      </c>
      <c r="K11" s="26"/>
      <c r="L11" s="53">
        <v>8</v>
      </c>
      <c r="M11" s="60" cm="1">
        <f t="array" ref="M11" xml:space="preserve">
_xlfn.LET(
_xlpm.Z, _xlfn._xlws.FILTER($DY$6:$EE$65,$DX$6:$DX$65=C11),
_xlpm.Q,_xlfn._xlws.FILTER($DP$6:$DV$65,$DO$6:$DO$65=C11),
IF($A11="x",SUMPRODUCT(_xlpm.Z,$DY$73:$EE$73,EH11:EN11),SUMPRODUCT(_xlpm.Q,$DP$73:$DV$73)))</f>
        <v>0</v>
      </c>
      <c r="N11" s="54" t="str" cm="1">
        <f t="array" ref="N11" xml:space="preserve">
_xlfn.LET(
_xlpm.Z, SUM(IF($A11="x",_xlfn._xlws.FILTER($M$6:$M$65,$A$6:$A$65="x"),_xlfn._xlws.FILTER($M$6:$M$65,$A$6:$A$65&lt;&gt;"x"))),
IF(_xlpm.Z&lt;&gt;0,M11/_xlpm.Z,""))</f>
        <v/>
      </c>
      <c r="O11" s="26"/>
      <c r="P11" s="53">
        <f t="shared" si="52"/>
        <v>8</v>
      </c>
      <c r="Q11" s="60" cm="1">
        <f t="array" ref="Q11" xml:space="preserve">
_xlfn.LET(
_xlpm.Z, _xlfn._xlws.FILTER($FA$6:$FG$65,$EZ$6:$EZ$65=C11),
_xlpm.Q,_xlfn._xlws.FILTER($ER$6:$EX$65,$EQ$6:$EQ$65=C11),
IF($A11="x",SUMPRODUCT(_xlpm.Z,$FA$73:$FG$73,FJ11:FP11),SUMPRODUCT(_xlpm.Q,$ER$73:$EX$73)))</f>
        <v>0</v>
      </c>
      <c r="R11" s="54" t="str" cm="1">
        <f t="array" ref="R11" xml:space="preserve">
_xlfn.LET(
_xlpm.Z, SUM(IF($A11="x",_xlfn._xlws.FILTER($Q$6:$Q$65,$A$6:$A$65="x"),_xlfn._xlws.FILTER($Q$6:$Q$65,$A$6:$A$65&lt;&gt;"x"))),
IF(_xlpm.Z&lt;&gt;0,Q11/_xlpm.Z,""))</f>
        <v/>
      </c>
      <c r="S11" s="26"/>
      <c r="T11" s="52"/>
      <c r="U11" s="52"/>
      <c r="V11" s="52"/>
      <c r="W11" s="52"/>
      <c r="X11" s="52"/>
      <c r="Y11" s="27"/>
      <c r="Z11" s="27"/>
      <c r="AA11" s="27"/>
      <c r="AB11" s="27"/>
      <c r="AC11" s="27"/>
      <c r="AD11" s="28"/>
      <c r="AE11" s="28"/>
      <c r="AF11" s="23" t="str">
        <f t="shared" si="42"/>
        <v/>
      </c>
      <c r="AG11" s="23" t="str">
        <f t="shared" si="42"/>
        <v/>
      </c>
      <c r="AH11" s="23" t="str">
        <f t="shared" si="42"/>
        <v/>
      </c>
      <c r="AI11" s="23">
        <f t="shared" si="42"/>
        <v>1</v>
      </c>
      <c r="AJ11" s="23">
        <f t="shared" si="42"/>
        <v>1</v>
      </c>
      <c r="AK11" s="23">
        <f t="shared" si="42"/>
        <v>1</v>
      </c>
      <c r="AL11" s="23">
        <f t="shared" si="42"/>
        <v>1</v>
      </c>
      <c r="AM11" s="23">
        <f t="shared" si="42"/>
        <v>1</v>
      </c>
      <c r="AN11" s="23">
        <f t="shared" si="42"/>
        <v>1</v>
      </c>
      <c r="AO11" s="23">
        <f t="shared" si="42"/>
        <v>1</v>
      </c>
      <c r="AP11" s="23">
        <f t="shared" si="43"/>
        <v>1</v>
      </c>
      <c r="AQ11" s="23">
        <f t="shared" si="43"/>
        <v>1</v>
      </c>
      <c r="AR11" s="23" t="str">
        <f t="shared" si="43"/>
        <v/>
      </c>
      <c r="AS11" s="23" t="str">
        <f t="shared" si="43"/>
        <v/>
      </c>
      <c r="AT11" s="23" t="str">
        <f t="shared" si="43"/>
        <v/>
      </c>
      <c r="AU11" s="23" t="str">
        <f t="shared" si="43"/>
        <v/>
      </c>
      <c r="AV11" s="23" t="str">
        <f t="shared" si="43"/>
        <v/>
      </c>
      <c r="AW11" s="23" t="str">
        <f t="shared" si="43"/>
        <v/>
      </c>
      <c r="AX11" s="23" t="str">
        <f t="shared" si="43"/>
        <v/>
      </c>
      <c r="AY11" s="23" t="str">
        <f t="shared" si="43"/>
        <v/>
      </c>
      <c r="AZ11" s="23" t="str">
        <f t="shared" si="44"/>
        <v/>
      </c>
      <c r="BA11" s="23" t="str">
        <f t="shared" si="44"/>
        <v/>
      </c>
      <c r="BB11" s="23" t="str">
        <f t="shared" si="44"/>
        <v/>
      </c>
      <c r="BC11" s="23" t="str">
        <f t="shared" si="44"/>
        <v/>
      </c>
      <c r="BD11" s="23" t="str">
        <f t="shared" si="44"/>
        <v/>
      </c>
      <c r="BE11" s="23" t="str">
        <f t="shared" si="44"/>
        <v/>
      </c>
      <c r="BF11" s="23" t="str">
        <f t="shared" si="44"/>
        <v/>
      </c>
      <c r="BG11" s="23" t="str">
        <f t="shared" si="44"/>
        <v/>
      </c>
      <c r="BH11" s="23" t="str">
        <f t="shared" si="44"/>
        <v/>
      </c>
      <c r="BI11" s="23" t="str">
        <f t="shared" si="44"/>
        <v/>
      </c>
      <c r="BJ11" s="23" t="str">
        <f t="shared" si="45"/>
        <v/>
      </c>
      <c r="BK11" s="23" t="str">
        <f t="shared" si="45"/>
        <v/>
      </c>
      <c r="BL11" s="23" t="str">
        <f t="shared" si="45"/>
        <v/>
      </c>
      <c r="BM11" s="23" t="str">
        <f t="shared" si="45"/>
        <v/>
      </c>
      <c r="BN11" s="23" t="str">
        <f t="shared" si="45"/>
        <v/>
      </c>
      <c r="BO11" s="23" t="str">
        <f t="shared" si="45"/>
        <v/>
      </c>
      <c r="BP11" s="23" t="str">
        <f t="shared" si="45"/>
        <v/>
      </c>
      <c r="BQ11" s="23" t="str">
        <f t="shared" si="45"/>
        <v/>
      </c>
      <c r="BR11" s="23" t="str">
        <f t="shared" si="45"/>
        <v/>
      </c>
      <c r="BS11" s="23" t="str">
        <f t="shared" si="45"/>
        <v/>
      </c>
      <c r="BT11" s="23" t="str">
        <f t="shared" si="46"/>
        <v/>
      </c>
      <c r="BU11" s="23" t="str">
        <f t="shared" si="46"/>
        <v/>
      </c>
      <c r="BV11" s="23" t="str">
        <f t="shared" si="46"/>
        <v/>
      </c>
      <c r="BW11" s="23" t="str">
        <f t="shared" si="46"/>
        <v/>
      </c>
      <c r="BX11" s="23" t="str">
        <f t="shared" si="46"/>
        <v/>
      </c>
      <c r="BY11" s="23" t="str">
        <f t="shared" si="46"/>
        <v/>
      </c>
      <c r="BZ11" s="23" t="str">
        <f t="shared" si="46"/>
        <v/>
      </c>
      <c r="CA11" s="23" t="str">
        <f t="shared" si="46"/>
        <v/>
      </c>
      <c r="CB11" s="23" t="str">
        <f t="shared" si="46"/>
        <v/>
      </c>
      <c r="CC11" s="23" t="str">
        <f t="shared" si="46"/>
        <v/>
      </c>
      <c r="CD11" s="23" t="str">
        <f t="shared" si="47"/>
        <v/>
      </c>
      <c r="CE11" s="23" t="str">
        <f t="shared" si="47"/>
        <v/>
      </c>
      <c r="CF11" s="23" t="str">
        <f t="shared" si="47"/>
        <v/>
      </c>
      <c r="CG11" s="23" t="str">
        <f t="shared" si="47"/>
        <v/>
      </c>
      <c r="CH11" s="23" t="str">
        <f t="shared" si="47"/>
        <v/>
      </c>
      <c r="CI11" s="23" t="str">
        <f t="shared" si="47"/>
        <v/>
      </c>
      <c r="CJ11" s="23" t="str">
        <f t="shared" si="47"/>
        <v/>
      </c>
      <c r="CK11" s="23" t="str">
        <f t="shared" si="47"/>
        <v/>
      </c>
      <c r="CL11" s="23" t="str">
        <f t="shared" si="47"/>
        <v/>
      </c>
      <c r="CM11" s="23" t="str">
        <f t="shared" si="47"/>
        <v/>
      </c>
      <c r="CN11" s="23" t="str">
        <f t="shared" si="48"/>
        <v/>
      </c>
      <c r="CO11" s="23" t="str">
        <f t="shared" si="48"/>
        <v/>
      </c>
      <c r="CP11" s="23" t="str">
        <f t="shared" si="48"/>
        <v/>
      </c>
      <c r="CQ11" s="23" t="str">
        <f t="shared" si="48"/>
        <v/>
      </c>
      <c r="CR11" s="23" t="str">
        <f t="shared" si="48"/>
        <v/>
      </c>
      <c r="CS11" s="23" t="str">
        <f t="shared" si="48"/>
        <v/>
      </c>
      <c r="CT11" s="23" t="str">
        <f t="shared" si="48"/>
        <v/>
      </c>
      <c r="CU11" s="23" t="str">
        <f t="shared" si="48"/>
        <v/>
      </c>
      <c r="CV11" s="23" t="str">
        <f t="shared" si="48"/>
        <v/>
      </c>
      <c r="CW11" s="23" t="str">
        <f t="shared" si="48"/>
        <v/>
      </c>
      <c r="CX11" s="23" t="str">
        <f t="shared" si="49"/>
        <v/>
      </c>
      <c r="CY11" s="23" t="str">
        <f t="shared" si="49"/>
        <v/>
      </c>
      <c r="CZ11" s="23" t="str">
        <f t="shared" si="49"/>
        <v/>
      </c>
      <c r="DA11" s="23" t="str">
        <f t="shared" si="49"/>
        <v/>
      </c>
      <c r="DB11" s="23" t="str">
        <f t="shared" si="49"/>
        <v/>
      </c>
      <c r="DC11" s="23" t="str">
        <f t="shared" si="49"/>
        <v/>
      </c>
      <c r="DD11" s="23" t="str">
        <f t="shared" si="49"/>
        <v/>
      </c>
      <c r="DE11" s="23" t="str">
        <f t="shared" si="49"/>
        <v/>
      </c>
      <c r="DF11" s="23" t="str">
        <f t="shared" si="49"/>
        <v/>
      </c>
      <c r="DG11" s="23" t="str">
        <f t="shared" si="49"/>
        <v/>
      </c>
      <c r="DH11" s="23" t="str">
        <f t="shared" si="49"/>
        <v/>
      </c>
      <c r="DI11" s="23" t="str">
        <f t="shared" si="49"/>
        <v/>
      </c>
      <c r="DJ11" s="23" t="str">
        <f t="shared" si="49"/>
        <v/>
      </c>
      <c r="DK11" s="23" t="str">
        <f t="shared" si="49"/>
        <v/>
      </c>
      <c r="DO11" s="61">
        <f t="shared" si="53"/>
        <v>6</v>
      </c>
      <c r="DP11" s="61">
        <f>IF($A11&lt;&gt;"x",$L11*SUMIFS($AF11:$DK11,$AF$4:$DK$4,Jahresscheiben!C$2),0)</f>
        <v>72</v>
      </c>
      <c r="DQ11" s="61">
        <f>IF($A11&lt;&gt;"x",$L11*SUMIFS($AF11:$DK11,$AF$4:$DK$4,Jahresscheiben!D$2),0)</f>
        <v>0</v>
      </c>
      <c r="DR11" s="61">
        <f>IF($A11&lt;&gt;"x",$L11*SUMIFS($AF11:$DK11,$AF$4:$DK$4,Jahresscheiben!E$2),0)</f>
        <v>0</v>
      </c>
      <c r="DS11" s="61">
        <f>IF($A11&lt;&gt;"x",$L11*SUMIFS($AF11:$DK11,$AF$4:$DK$4,Jahresscheiben!F$2),0)</f>
        <v>0</v>
      </c>
      <c r="DT11" s="61">
        <f>IF($A11&lt;&gt;"x",$L11*SUMIFS($AF11:$DK11,$AF$4:$DK$4,Jahresscheiben!G$2),0)</f>
        <v>0</v>
      </c>
      <c r="DU11" s="61">
        <f>IF($A11&lt;&gt;"x",$L11*SUMIFS($AF11:$DK11,$AF$4:$DK$4,Jahresscheiben!H$2),0)</f>
        <v>0</v>
      </c>
      <c r="DV11" s="61">
        <f>IF($A11&lt;&gt;"x",$L11*SUMIFS($AF11:$DK11,$AF$4:$DK$4,Jahresscheiben!I$2),0)</f>
        <v>0</v>
      </c>
      <c r="DW11" s="85"/>
      <c r="DX11" s="61">
        <f t="shared" si="54"/>
        <v>6</v>
      </c>
      <c r="DY11" s="85">
        <f>IF($A11="x",$L11*SUMIFS($AF11:$DK11,$AF$4:$DK$4,Jahresscheiben!C$2)/2,0)</f>
        <v>0</v>
      </c>
      <c r="DZ11" s="85">
        <f>IF($A11="x",$L11*SUMIFS($AF11:$DK11,$AF$4:$DK$4,Jahresscheiben!D$2)/2,0)</f>
        <v>0</v>
      </c>
      <c r="EA11" s="85">
        <f>IF($A11="x",$L11*SUMIFS($AF11:$DK11,$AF$4:$DK$4,Jahresscheiben!E$2)/2,0)</f>
        <v>0</v>
      </c>
      <c r="EB11" s="85">
        <f>IF($A11="x",$L11*SUMIFS($AF11:$DK11,$AF$4:$DK$4,Jahresscheiben!F$2)/2,0)</f>
        <v>0</v>
      </c>
      <c r="EC11" s="85">
        <f>IF($A11="x",$L11*SUMIFS($AF11:$DK11,$AF$4:$DK$4,Jahresscheiben!G$2)/2,0)</f>
        <v>0</v>
      </c>
      <c r="ED11" s="85">
        <f>IF($A11="x",$L11*SUMIFS($AF11:$DK11,$AF$4:$DK$4,Jahresscheiben!H$2)/2,0)</f>
        <v>0</v>
      </c>
      <c r="EE11" s="85">
        <f>IF($A11="x",$L11*SUMIFS($AF11:$DK11,$AF$4:$DK$4,Jahresscheiben!I$2)/2,0)</f>
        <v>0</v>
      </c>
      <c r="EF11" s="85"/>
      <c r="EG11" s="61">
        <f t="shared" si="55"/>
        <v>6</v>
      </c>
      <c r="EH11" s="85" cm="1">
        <f t="array" ref="EH1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11" s="85" cm="1">
        <f t="array" ref="EI1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0</v>
      </c>
      <c r="EJ11" s="85" cm="1">
        <f t="array" ref="EJ1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</v>
      </c>
      <c r="EK11" s="85" cm="1">
        <f t="array" ref="EK1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11" s="85" cm="1">
        <f t="array" ref="EL1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11" s="85" cm="1">
        <f t="array" ref="EM1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11" s="85" cm="1">
        <f t="array" ref="EN1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11" s="85"/>
      <c r="EQ11" s="61">
        <f t="shared" si="56"/>
        <v>6</v>
      </c>
      <c r="ER11" s="62">
        <f>IF($A11&lt;&gt;"x",$P11*SUMIFS($AF11:$DK11,$AF$4:$DK$4,Jahresscheiben!C$2),0)</f>
        <v>72</v>
      </c>
      <c r="ES11" s="62">
        <f>IF($A11&lt;&gt;"x",$P11*SUMIFS($AF11:$DK11,$AF$4:$DK$4,Jahresscheiben!D$2),0)</f>
        <v>0</v>
      </c>
      <c r="ET11" s="62">
        <f>IF($A11&lt;&gt;"x",$P11*SUMIFS($AF11:$DK11,$AF$4:$DK$4,Jahresscheiben!E$2),0)</f>
        <v>0</v>
      </c>
      <c r="EU11" s="62">
        <f>IF($A11&lt;&gt;"x",$P11*SUMIFS($AF11:$DK11,$AF$4:$DK$4,Jahresscheiben!F$2),0)</f>
        <v>0</v>
      </c>
      <c r="EV11" s="62">
        <f>IF($A11&lt;&gt;"x",$P11*SUMIFS($AF11:$DK11,$AF$4:$DK$4,Jahresscheiben!G$2),0)</f>
        <v>0</v>
      </c>
      <c r="EW11" s="62">
        <f>IF($A11&lt;&gt;"x",$P11*SUMIFS($AF11:$DK11,$AF$4:$DK$4,Jahresscheiben!H$2),0)</f>
        <v>0</v>
      </c>
      <c r="EX11" s="62">
        <f>IF($A11&lt;&gt;"x",$P11*SUMIFS($AF11:$DK11,$AF$4:$DK$4,Jahresscheiben!I$2),0)</f>
        <v>0</v>
      </c>
      <c r="EY11" s="85"/>
      <c r="EZ11" s="61">
        <f t="shared" si="57"/>
        <v>6</v>
      </c>
      <c r="FA11" s="85">
        <f>IF($A11="x",$P11*SUMIFS($AF11:$DK11,$AF$4:$DK$4,Jahresscheiben!C$2)/2,0)</f>
        <v>0</v>
      </c>
      <c r="FB11" s="85">
        <f>IF($A11="x",$P11*SUMIFS($AF11:$DK11,$AF$4:$DK$4,Jahresscheiben!D$2)/2,0)</f>
        <v>0</v>
      </c>
      <c r="FC11" s="85">
        <f>IF($A11="x",$P11*SUMIFS($AF11:$DK11,$AF$4:$DK$4,Jahresscheiben!E$2)/2,0)</f>
        <v>0</v>
      </c>
      <c r="FD11" s="85">
        <f>IF($A11="x",$P11*SUMIFS($AF11:$DK11,$AF$4:$DK$4,Jahresscheiben!F$2)/2,0)</f>
        <v>0</v>
      </c>
      <c r="FE11" s="85">
        <f>IF($A11="x",$P11*SUMIFS($AF11:$DK11,$AF$4:$DK$4,Jahresscheiben!G$2)/2,0)</f>
        <v>0</v>
      </c>
      <c r="FF11" s="85">
        <f>IF($A11="x",$P11*SUMIFS($AF11:$DK11,$AF$4:$DK$4,Jahresscheiben!H$2)/2,0)</f>
        <v>0</v>
      </c>
      <c r="FG11" s="85">
        <f>IF($A11="x",$P11*SUMIFS($AF11:$DK11,$AF$4:$DK$4,Jahresscheiben!I$2)/2,0)</f>
        <v>0</v>
      </c>
      <c r="FH11" s="85"/>
      <c r="FI11" s="61">
        <f t="shared" si="58"/>
        <v>6</v>
      </c>
      <c r="FJ11" s="85" cm="1">
        <f t="array" ref="FJ1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11" s="85" cm="1">
        <f t="array" ref="FK1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0</v>
      </c>
      <c r="FL11" s="85" cm="1">
        <f t="array" ref="FL1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</v>
      </c>
      <c r="FM11" s="85" cm="1">
        <f t="array" ref="FM1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11" s="85" cm="1">
        <f t="array" ref="FN1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11" s="85" cm="1">
        <f t="array" ref="FO1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11" s="85" cm="1">
        <f t="array" ref="FP1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12" spans="1:172" ht="17" customHeight="1" thickBot="1" x14ac:dyDescent="0.55000000000000004">
      <c r="A12" s="30" t="s">
        <v>24</v>
      </c>
      <c r="B12" s="31">
        <f t="shared" si="50"/>
        <v>150</v>
      </c>
      <c r="C12" s="22">
        <f t="shared" si="51"/>
        <v>7</v>
      </c>
      <c r="D12" s="71" t="s">
        <v>57</v>
      </c>
      <c r="E12" s="26"/>
      <c r="F12" s="26">
        <v>4</v>
      </c>
      <c r="G12" s="26">
        <v>7</v>
      </c>
      <c r="H12" s="26"/>
      <c r="I12" s="6">
        <f t="shared" si="40"/>
        <v>46142</v>
      </c>
      <c r="J12" s="6">
        <f t="shared" si="41"/>
        <v>46234</v>
      </c>
      <c r="K12" s="26"/>
      <c r="L12" s="53">
        <v>7</v>
      </c>
      <c r="M12" s="60" cm="1">
        <f t="array" ref="M12" xml:space="preserve">
_xlfn.LET(
_xlpm.Z, _xlfn._xlws.FILTER($DY$6:$EE$65,$DX$6:$DX$65=C12),
_xlpm.Q,_xlfn._xlws.FILTER($DP$6:$DV$65,$DO$6:$DO$65=C12),
IF($A12="x",SUMPRODUCT(_xlpm.Z,$DY$73:$EE$73,EH12:EN12),SUMPRODUCT(_xlpm.Q,$DP$73:$DV$73)))</f>
        <v>0</v>
      </c>
      <c r="N12" s="54" t="str" cm="1">
        <f t="array" ref="N12" xml:space="preserve">
_xlfn.LET(
_xlpm.Z, SUM(IF($A12="x",_xlfn._xlws.FILTER($M$6:$M$65,$A$6:$A$65="x"),_xlfn._xlws.FILTER($M$6:$M$65,$A$6:$A$65&lt;&gt;"x"))),
IF(_xlpm.Z&lt;&gt;0,M12/_xlpm.Z,""))</f>
        <v/>
      </c>
      <c r="O12" s="26"/>
      <c r="P12" s="53">
        <f t="shared" si="52"/>
        <v>7</v>
      </c>
      <c r="Q12" s="60" cm="1">
        <f t="array" ref="Q12" xml:space="preserve">
_xlfn.LET(
_xlpm.Z, _xlfn._xlws.FILTER($FA$6:$FG$65,$EZ$6:$EZ$65=C12),
_xlpm.Q,_xlfn._xlws.FILTER($ER$6:$EX$65,$EQ$6:$EQ$65=C12),
IF($A12="x",SUMPRODUCT(_xlpm.Z,$FA$73:$FG$73,FJ12:FP12),SUMPRODUCT(_xlpm.Q,$ER$73:$EX$73)))</f>
        <v>0</v>
      </c>
      <c r="R12" s="54" t="str" cm="1">
        <f t="array" ref="R12" xml:space="preserve">
_xlfn.LET(
_xlpm.Z, SUM(IF($A12="x",_xlfn._xlws.FILTER($Q$6:$Q$65,$A$6:$A$65="x"),_xlfn._xlws.FILTER($Q$6:$Q$65,$A$6:$A$65&lt;&gt;"x"))),
IF(_xlpm.Z&lt;&gt;0,Q12/_xlpm.Z,""))</f>
        <v/>
      </c>
      <c r="S12" s="26"/>
      <c r="T12" s="52"/>
      <c r="U12" s="52"/>
      <c r="V12" s="52"/>
      <c r="W12" s="52"/>
      <c r="X12" s="52"/>
      <c r="Y12" s="27"/>
      <c r="Z12" s="27"/>
      <c r="AA12" s="27"/>
      <c r="AB12" s="27"/>
      <c r="AC12" s="27"/>
      <c r="AD12" s="28"/>
      <c r="AE12" s="28"/>
      <c r="AF12" s="23" t="str">
        <f t="shared" si="42"/>
        <v/>
      </c>
      <c r="AG12" s="23" t="str">
        <f t="shared" si="42"/>
        <v/>
      </c>
      <c r="AH12" s="23" t="str">
        <f t="shared" si="42"/>
        <v/>
      </c>
      <c r="AI12" s="23">
        <f t="shared" si="42"/>
        <v>2</v>
      </c>
      <c r="AJ12" s="23">
        <f t="shared" si="42"/>
        <v>2</v>
      </c>
      <c r="AK12" s="23">
        <f t="shared" si="42"/>
        <v>2</v>
      </c>
      <c r="AL12" s="23">
        <f t="shared" si="42"/>
        <v>2</v>
      </c>
      <c r="AM12" s="23" t="str">
        <f t="shared" si="42"/>
        <v/>
      </c>
      <c r="AN12" s="23" t="str">
        <f t="shared" si="42"/>
        <v/>
      </c>
      <c r="AO12" s="23" t="str">
        <f t="shared" si="42"/>
        <v/>
      </c>
      <c r="AP12" s="23" t="str">
        <f t="shared" si="43"/>
        <v/>
      </c>
      <c r="AQ12" s="23" t="str">
        <f t="shared" si="43"/>
        <v/>
      </c>
      <c r="AR12" s="23" t="str">
        <f t="shared" si="43"/>
        <v/>
      </c>
      <c r="AS12" s="23" t="str">
        <f t="shared" si="43"/>
        <v/>
      </c>
      <c r="AT12" s="23" t="str">
        <f t="shared" si="43"/>
        <v/>
      </c>
      <c r="AU12" s="23" t="str">
        <f t="shared" si="43"/>
        <v/>
      </c>
      <c r="AV12" s="23" t="str">
        <f t="shared" si="43"/>
        <v/>
      </c>
      <c r="AW12" s="23" t="str">
        <f t="shared" si="43"/>
        <v/>
      </c>
      <c r="AX12" s="23" t="str">
        <f t="shared" si="43"/>
        <v/>
      </c>
      <c r="AY12" s="23" t="str">
        <f t="shared" si="43"/>
        <v/>
      </c>
      <c r="AZ12" s="23" t="str">
        <f t="shared" si="44"/>
        <v/>
      </c>
      <c r="BA12" s="23" t="str">
        <f t="shared" si="44"/>
        <v/>
      </c>
      <c r="BB12" s="23" t="str">
        <f t="shared" si="44"/>
        <v/>
      </c>
      <c r="BC12" s="23" t="str">
        <f t="shared" si="44"/>
        <v/>
      </c>
      <c r="BD12" s="23" t="str">
        <f t="shared" si="44"/>
        <v/>
      </c>
      <c r="BE12" s="23" t="str">
        <f t="shared" si="44"/>
        <v/>
      </c>
      <c r="BF12" s="23" t="str">
        <f t="shared" si="44"/>
        <v/>
      </c>
      <c r="BG12" s="23" t="str">
        <f t="shared" si="44"/>
        <v/>
      </c>
      <c r="BH12" s="23" t="str">
        <f t="shared" si="44"/>
        <v/>
      </c>
      <c r="BI12" s="23" t="str">
        <f t="shared" si="44"/>
        <v/>
      </c>
      <c r="BJ12" s="23" t="str">
        <f t="shared" si="45"/>
        <v/>
      </c>
      <c r="BK12" s="23" t="str">
        <f t="shared" si="45"/>
        <v/>
      </c>
      <c r="BL12" s="23" t="str">
        <f t="shared" si="45"/>
        <v/>
      </c>
      <c r="BM12" s="23" t="str">
        <f t="shared" si="45"/>
        <v/>
      </c>
      <c r="BN12" s="23" t="str">
        <f t="shared" si="45"/>
        <v/>
      </c>
      <c r="BO12" s="23" t="str">
        <f t="shared" si="45"/>
        <v/>
      </c>
      <c r="BP12" s="23" t="str">
        <f t="shared" si="45"/>
        <v/>
      </c>
      <c r="BQ12" s="23" t="str">
        <f t="shared" si="45"/>
        <v/>
      </c>
      <c r="BR12" s="23" t="str">
        <f t="shared" si="45"/>
        <v/>
      </c>
      <c r="BS12" s="23" t="str">
        <f t="shared" si="45"/>
        <v/>
      </c>
      <c r="BT12" s="23" t="str">
        <f t="shared" si="46"/>
        <v/>
      </c>
      <c r="BU12" s="23" t="str">
        <f t="shared" si="46"/>
        <v/>
      </c>
      <c r="BV12" s="23" t="str">
        <f t="shared" si="46"/>
        <v/>
      </c>
      <c r="BW12" s="23" t="str">
        <f t="shared" si="46"/>
        <v/>
      </c>
      <c r="BX12" s="23" t="str">
        <f t="shared" si="46"/>
        <v/>
      </c>
      <c r="BY12" s="23" t="str">
        <f t="shared" si="46"/>
        <v/>
      </c>
      <c r="BZ12" s="23" t="str">
        <f t="shared" si="46"/>
        <v/>
      </c>
      <c r="CA12" s="23" t="str">
        <f t="shared" si="46"/>
        <v/>
      </c>
      <c r="CB12" s="23" t="str">
        <f t="shared" si="46"/>
        <v/>
      </c>
      <c r="CC12" s="23" t="str">
        <f t="shared" si="46"/>
        <v/>
      </c>
      <c r="CD12" s="23" t="str">
        <f t="shared" si="47"/>
        <v/>
      </c>
      <c r="CE12" s="23" t="str">
        <f t="shared" si="47"/>
        <v/>
      </c>
      <c r="CF12" s="23" t="str">
        <f t="shared" si="47"/>
        <v/>
      </c>
      <c r="CG12" s="23" t="str">
        <f t="shared" si="47"/>
        <v/>
      </c>
      <c r="CH12" s="23" t="str">
        <f t="shared" si="47"/>
        <v/>
      </c>
      <c r="CI12" s="23" t="str">
        <f t="shared" si="47"/>
        <v/>
      </c>
      <c r="CJ12" s="23" t="str">
        <f t="shared" si="47"/>
        <v/>
      </c>
      <c r="CK12" s="23" t="str">
        <f t="shared" si="47"/>
        <v/>
      </c>
      <c r="CL12" s="23" t="str">
        <f t="shared" si="47"/>
        <v/>
      </c>
      <c r="CM12" s="23" t="str">
        <f t="shared" si="47"/>
        <v/>
      </c>
      <c r="CN12" s="23" t="str">
        <f t="shared" si="48"/>
        <v/>
      </c>
      <c r="CO12" s="23" t="str">
        <f t="shared" si="48"/>
        <v/>
      </c>
      <c r="CP12" s="23" t="str">
        <f t="shared" si="48"/>
        <v/>
      </c>
      <c r="CQ12" s="23" t="str">
        <f t="shared" si="48"/>
        <v/>
      </c>
      <c r="CR12" s="23" t="str">
        <f t="shared" si="48"/>
        <v/>
      </c>
      <c r="CS12" s="23" t="str">
        <f t="shared" si="48"/>
        <v/>
      </c>
      <c r="CT12" s="23" t="str">
        <f t="shared" si="48"/>
        <v/>
      </c>
      <c r="CU12" s="23" t="str">
        <f t="shared" si="48"/>
        <v/>
      </c>
      <c r="CV12" s="23" t="str">
        <f t="shared" si="48"/>
        <v/>
      </c>
      <c r="CW12" s="23" t="str">
        <f t="shared" si="48"/>
        <v/>
      </c>
      <c r="CX12" s="23" t="str">
        <f t="shared" si="49"/>
        <v/>
      </c>
      <c r="CY12" s="23" t="str">
        <f t="shared" si="49"/>
        <v/>
      </c>
      <c r="CZ12" s="23" t="str">
        <f t="shared" si="49"/>
        <v/>
      </c>
      <c r="DA12" s="23" t="str">
        <f t="shared" si="49"/>
        <v/>
      </c>
      <c r="DB12" s="23" t="str">
        <f t="shared" si="49"/>
        <v/>
      </c>
      <c r="DC12" s="23" t="str">
        <f t="shared" si="49"/>
        <v/>
      </c>
      <c r="DD12" s="23" t="str">
        <f t="shared" si="49"/>
        <v/>
      </c>
      <c r="DE12" s="23" t="str">
        <f t="shared" si="49"/>
        <v/>
      </c>
      <c r="DF12" s="23" t="str">
        <f t="shared" si="49"/>
        <v/>
      </c>
      <c r="DG12" s="23" t="str">
        <f t="shared" si="49"/>
        <v/>
      </c>
      <c r="DH12" s="23" t="str">
        <f t="shared" si="49"/>
        <v/>
      </c>
      <c r="DI12" s="23" t="str">
        <f t="shared" si="49"/>
        <v/>
      </c>
      <c r="DJ12" s="23" t="str">
        <f t="shared" si="49"/>
        <v/>
      </c>
      <c r="DK12" s="23" t="str">
        <f t="shared" si="49"/>
        <v/>
      </c>
      <c r="DO12" s="61">
        <f t="shared" si="53"/>
        <v>7</v>
      </c>
      <c r="DP12" s="61">
        <f>IF($A12&lt;&gt;"x",$L12*SUMIFS($AF12:$DK12,$AF$4:$DK$4,Jahresscheiben!C$2),0)</f>
        <v>0</v>
      </c>
      <c r="DQ12" s="61">
        <f>IF($A12&lt;&gt;"x",$L12*SUMIFS($AF12:$DK12,$AF$4:$DK$4,Jahresscheiben!D$2),0)</f>
        <v>0</v>
      </c>
      <c r="DR12" s="61">
        <f>IF($A12&lt;&gt;"x",$L12*SUMIFS($AF12:$DK12,$AF$4:$DK$4,Jahresscheiben!E$2),0)</f>
        <v>0</v>
      </c>
      <c r="DS12" s="61">
        <f>IF($A12&lt;&gt;"x",$L12*SUMIFS($AF12:$DK12,$AF$4:$DK$4,Jahresscheiben!F$2),0)</f>
        <v>0</v>
      </c>
      <c r="DT12" s="61">
        <f>IF($A12&lt;&gt;"x",$L12*SUMIFS($AF12:$DK12,$AF$4:$DK$4,Jahresscheiben!G$2),0)</f>
        <v>0</v>
      </c>
      <c r="DU12" s="61">
        <f>IF($A12&lt;&gt;"x",$L12*SUMIFS($AF12:$DK12,$AF$4:$DK$4,Jahresscheiben!H$2),0)</f>
        <v>0</v>
      </c>
      <c r="DV12" s="61">
        <f>IF($A12&lt;&gt;"x",$L12*SUMIFS($AF12:$DK12,$AF$4:$DK$4,Jahresscheiben!I$2),0)</f>
        <v>0</v>
      </c>
      <c r="DW12" s="85"/>
      <c r="DX12" s="61">
        <f t="shared" si="54"/>
        <v>7</v>
      </c>
      <c r="DY12" s="85">
        <f>IF($A12="x",$L12*SUMIFS($AF12:$DK12,$AF$4:$DK$4,Jahresscheiben!C$2)/2,0)</f>
        <v>28</v>
      </c>
      <c r="DZ12" s="85">
        <f>IF($A12="x",$L12*SUMIFS($AF12:$DK12,$AF$4:$DK$4,Jahresscheiben!D$2)/2,0)</f>
        <v>0</v>
      </c>
      <c r="EA12" s="85">
        <f>IF($A12="x",$L12*SUMIFS($AF12:$DK12,$AF$4:$DK$4,Jahresscheiben!E$2)/2,0)</f>
        <v>0</v>
      </c>
      <c r="EB12" s="85">
        <f>IF($A12="x",$L12*SUMIFS($AF12:$DK12,$AF$4:$DK$4,Jahresscheiben!F$2)/2,0)</f>
        <v>0</v>
      </c>
      <c r="EC12" s="85">
        <f>IF($A12="x",$L12*SUMIFS($AF12:$DK12,$AF$4:$DK$4,Jahresscheiben!G$2)/2,0)</f>
        <v>0</v>
      </c>
      <c r="ED12" s="85">
        <f>IF($A12="x",$L12*SUMIFS($AF12:$DK12,$AF$4:$DK$4,Jahresscheiben!H$2)/2,0)</f>
        <v>0</v>
      </c>
      <c r="EE12" s="85">
        <f>IF($A12="x",$L12*SUMIFS($AF12:$DK12,$AF$4:$DK$4,Jahresscheiben!I$2)/2,0)</f>
        <v>0</v>
      </c>
      <c r="EF12" s="85"/>
      <c r="EG12" s="61">
        <f t="shared" si="55"/>
        <v>7</v>
      </c>
      <c r="EH12" s="85" cm="1">
        <f t="array" ref="EH1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1.0681858643403952</v>
      </c>
      <c r="EI12" s="85" cm="1">
        <f t="array" ref="EI1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0</v>
      </c>
      <c r="EJ12" s="85" cm="1">
        <f t="array" ref="EJ1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</v>
      </c>
      <c r="EK12" s="85" cm="1">
        <f t="array" ref="EK1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12" s="85" cm="1">
        <f t="array" ref="EL1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12" s="85" cm="1">
        <f t="array" ref="EM1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12" s="85" cm="1">
        <f t="array" ref="EN1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12" s="85"/>
      <c r="EQ12" s="61">
        <f t="shared" si="56"/>
        <v>7</v>
      </c>
      <c r="ER12" s="62">
        <f>IF($A12&lt;&gt;"x",$P12*SUMIFS($AF12:$DK12,$AF$4:$DK$4,Jahresscheiben!C$2),0)</f>
        <v>0</v>
      </c>
      <c r="ES12" s="62">
        <f>IF($A12&lt;&gt;"x",$P12*SUMIFS($AF12:$DK12,$AF$4:$DK$4,Jahresscheiben!D$2),0)</f>
        <v>0</v>
      </c>
      <c r="ET12" s="62">
        <f>IF($A12&lt;&gt;"x",$P12*SUMIFS($AF12:$DK12,$AF$4:$DK$4,Jahresscheiben!E$2),0)</f>
        <v>0</v>
      </c>
      <c r="EU12" s="62">
        <f>IF($A12&lt;&gt;"x",$P12*SUMIFS($AF12:$DK12,$AF$4:$DK$4,Jahresscheiben!F$2),0)</f>
        <v>0</v>
      </c>
      <c r="EV12" s="62">
        <f>IF($A12&lt;&gt;"x",$P12*SUMIFS($AF12:$DK12,$AF$4:$DK$4,Jahresscheiben!G$2),0)</f>
        <v>0</v>
      </c>
      <c r="EW12" s="62">
        <f>IF($A12&lt;&gt;"x",$P12*SUMIFS($AF12:$DK12,$AF$4:$DK$4,Jahresscheiben!H$2),0)</f>
        <v>0</v>
      </c>
      <c r="EX12" s="62">
        <f>IF($A12&lt;&gt;"x",$P12*SUMIFS($AF12:$DK12,$AF$4:$DK$4,Jahresscheiben!I$2),0)</f>
        <v>0</v>
      </c>
      <c r="EY12" s="85"/>
      <c r="EZ12" s="61">
        <f t="shared" si="57"/>
        <v>7</v>
      </c>
      <c r="FA12" s="85">
        <f>IF($A12="x",$P12*SUMIFS($AF12:$DK12,$AF$4:$DK$4,Jahresscheiben!C$2)/2,0)</f>
        <v>28</v>
      </c>
      <c r="FB12" s="85">
        <f>IF($A12="x",$P12*SUMIFS($AF12:$DK12,$AF$4:$DK$4,Jahresscheiben!D$2)/2,0)</f>
        <v>0</v>
      </c>
      <c r="FC12" s="85">
        <f>IF($A12="x",$P12*SUMIFS($AF12:$DK12,$AF$4:$DK$4,Jahresscheiben!E$2)/2,0)</f>
        <v>0</v>
      </c>
      <c r="FD12" s="85">
        <f>IF($A12="x",$P12*SUMIFS($AF12:$DK12,$AF$4:$DK$4,Jahresscheiben!F$2)/2,0)</f>
        <v>0</v>
      </c>
      <c r="FE12" s="85">
        <f>IF($A12="x",$P12*SUMIFS($AF12:$DK12,$AF$4:$DK$4,Jahresscheiben!G$2)/2,0)</f>
        <v>0</v>
      </c>
      <c r="FF12" s="85">
        <f>IF($A12="x",$P12*SUMIFS($AF12:$DK12,$AF$4:$DK$4,Jahresscheiben!H$2)/2,0)</f>
        <v>0</v>
      </c>
      <c r="FG12" s="85">
        <f>IF($A12="x",$P12*SUMIFS($AF12:$DK12,$AF$4:$DK$4,Jahresscheiben!I$2)/2,0)</f>
        <v>0</v>
      </c>
      <c r="FH12" s="85"/>
      <c r="FI12" s="61">
        <f t="shared" si="58"/>
        <v>7</v>
      </c>
      <c r="FJ12" s="85" cm="1">
        <f t="array" ref="FJ1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1.0681858643403952</v>
      </c>
      <c r="FK12" s="85" cm="1">
        <f t="array" ref="FK1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0</v>
      </c>
      <c r="FL12" s="85" cm="1">
        <f t="array" ref="FL1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</v>
      </c>
      <c r="FM12" s="85" cm="1">
        <f t="array" ref="FM1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12" s="85" cm="1">
        <f t="array" ref="FN1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12" s="85" cm="1">
        <f t="array" ref="FO1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12" s="85" cm="1">
        <f t="array" ref="FP1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13" spans="1:172" ht="17" customHeight="1" thickBot="1" x14ac:dyDescent="0.55000000000000004">
      <c r="A13" s="30" t="s">
        <v>24</v>
      </c>
      <c r="B13" s="31">
        <f t="shared" si="50"/>
        <v>139</v>
      </c>
      <c r="C13" s="22">
        <f t="shared" si="51"/>
        <v>8</v>
      </c>
      <c r="D13" s="71" t="s">
        <v>58</v>
      </c>
      <c r="E13" s="26"/>
      <c r="F13" s="26">
        <v>5</v>
      </c>
      <c r="G13" s="26">
        <v>9</v>
      </c>
      <c r="H13" s="26"/>
      <c r="I13" s="6">
        <f t="shared" si="40"/>
        <v>46173</v>
      </c>
      <c r="J13" s="6">
        <f t="shared" si="41"/>
        <v>46295</v>
      </c>
      <c r="K13" s="26"/>
      <c r="L13" s="53">
        <v>7</v>
      </c>
      <c r="M13" s="60" cm="1">
        <f t="array" ref="M13" xml:space="preserve">
_xlfn.LET(
_xlpm.Z, _xlfn._xlws.FILTER($DY$6:$EE$65,$DX$6:$DX$65=C13),
_xlpm.Q,_xlfn._xlws.FILTER($DP$6:$DV$65,$DO$6:$DO$65=C13),
IF($A13="x",SUMPRODUCT(_xlpm.Z,$DY$73:$EE$73,EH13:EN13),SUMPRODUCT(_xlpm.Q,$DP$73:$DV$73)))</f>
        <v>0</v>
      </c>
      <c r="N13" s="54" t="str" cm="1">
        <f t="array" ref="N13" xml:space="preserve">
_xlfn.LET(
_xlpm.Z, SUM(IF($A13="x",_xlfn._xlws.FILTER($M$6:$M$65,$A$6:$A$65="x"),_xlfn._xlws.FILTER($M$6:$M$65,$A$6:$A$65&lt;&gt;"x"))),
IF(_xlpm.Z&lt;&gt;0,M13/_xlpm.Z,""))</f>
        <v/>
      </c>
      <c r="O13" s="26"/>
      <c r="P13" s="53">
        <f t="shared" si="52"/>
        <v>7</v>
      </c>
      <c r="Q13" s="60" cm="1">
        <f t="array" ref="Q13" xml:space="preserve">
_xlfn.LET(
_xlpm.Z, _xlfn._xlws.FILTER($FA$6:$FG$65,$EZ$6:$EZ$65=C13),
_xlpm.Q,_xlfn._xlws.FILTER($ER$6:$EX$65,$EQ$6:$EQ$65=C13),
IF($A13="x",SUMPRODUCT(_xlpm.Z,$FA$73:$FG$73,FJ13:FP13),SUMPRODUCT(_xlpm.Q,$ER$73:$EX$73)))</f>
        <v>0</v>
      </c>
      <c r="R13" s="54" t="str" cm="1">
        <f t="array" ref="R13" xml:space="preserve">
_xlfn.LET(
_xlpm.Z, SUM(IF($A13="x",_xlfn._xlws.FILTER($Q$6:$Q$65,$A$6:$A$65="x"),_xlfn._xlws.FILTER($Q$6:$Q$65,$A$6:$A$65&lt;&gt;"x"))),
IF(_xlpm.Z&lt;&gt;0,Q13/_xlpm.Z,""))</f>
        <v/>
      </c>
      <c r="S13" s="26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8"/>
      <c r="AE13" s="28"/>
      <c r="AF13" s="23" t="str">
        <f t="shared" si="42"/>
        <v/>
      </c>
      <c r="AG13" s="23" t="str">
        <f t="shared" si="42"/>
        <v/>
      </c>
      <c r="AH13" s="23" t="str">
        <f t="shared" si="42"/>
        <v/>
      </c>
      <c r="AI13" s="23" t="str">
        <f t="shared" si="42"/>
        <v/>
      </c>
      <c r="AJ13" s="23">
        <f t="shared" si="42"/>
        <v>2</v>
      </c>
      <c r="AK13" s="23">
        <f t="shared" si="42"/>
        <v>2</v>
      </c>
      <c r="AL13" s="23">
        <f t="shared" si="42"/>
        <v>2</v>
      </c>
      <c r="AM13" s="23">
        <f t="shared" si="42"/>
        <v>2</v>
      </c>
      <c r="AN13" s="23">
        <f t="shared" si="42"/>
        <v>2</v>
      </c>
      <c r="AO13" s="23" t="str">
        <f t="shared" si="42"/>
        <v/>
      </c>
      <c r="AP13" s="23" t="str">
        <f t="shared" si="43"/>
        <v/>
      </c>
      <c r="AQ13" s="23" t="str">
        <f t="shared" si="43"/>
        <v/>
      </c>
      <c r="AR13" s="23" t="str">
        <f t="shared" si="43"/>
        <v/>
      </c>
      <c r="AS13" s="23" t="str">
        <f t="shared" si="43"/>
        <v/>
      </c>
      <c r="AT13" s="23" t="str">
        <f t="shared" si="43"/>
        <v/>
      </c>
      <c r="AU13" s="23" t="str">
        <f t="shared" si="43"/>
        <v/>
      </c>
      <c r="AV13" s="23" t="str">
        <f t="shared" si="43"/>
        <v/>
      </c>
      <c r="AW13" s="23" t="str">
        <f t="shared" si="43"/>
        <v/>
      </c>
      <c r="AX13" s="23" t="str">
        <f t="shared" si="43"/>
        <v/>
      </c>
      <c r="AY13" s="23" t="str">
        <f t="shared" si="43"/>
        <v/>
      </c>
      <c r="AZ13" s="23" t="str">
        <f t="shared" si="44"/>
        <v/>
      </c>
      <c r="BA13" s="23" t="str">
        <f t="shared" si="44"/>
        <v/>
      </c>
      <c r="BB13" s="23" t="str">
        <f t="shared" si="44"/>
        <v/>
      </c>
      <c r="BC13" s="23" t="str">
        <f t="shared" si="44"/>
        <v/>
      </c>
      <c r="BD13" s="23" t="str">
        <f t="shared" si="44"/>
        <v/>
      </c>
      <c r="BE13" s="23" t="str">
        <f t="shared" si="44"/>
        <v/>
      </c>
      <c r="BF13" s="23" t="str">
        <f t="shared" si="44"/>
        <v/>
      </c>
      <c r="BG13" s="23" t="str">
        <f t="shared" si="44"/>
        <v/>
      </c>
      <c r="BH13" s="23" t="str">
        <f t="shared" si="44"/>
        <v/>
      </c>
      <c r="BI13" s="23" t="str">
        <f t="shared" si="44"/>
        <v/>
      </c>
      <c r="BJ13" s="23" t="str">
        <f t="shared" si="45"/>
        <v/>
      </c>
      <c r="BK13" s="23" t="str">
        <f t="shared" si="45"/>
        <v/>
      </c>
      <c r="BL13" s="23" t="str">
        <f t="shared" si="45"/>
        <v/>
      </c>
      <c r="BM13" s="23" t="str">
        <f t="shared" si="45"/>
        <v/>
      </c>
      <c r="BN13" s="23" t="str">
        <f t="shared" si="45"/>
        <v/>
      </c>
      <c r="BO13" s="23" t="str">
        <f t="shared" si="45"/>
        <v/>
      </c>
      <c r="BP13" s="23" t="str">
        <f t="shared" si="45"/>
        <v/>
      </c>
      <c r="BQ13" s="23" t="str">
        <f t="shared" si="45"/>
        <v/>
      </c>
      <c r="BR13" s="23" t="str">
        <f t="shared" si="45"/>
        <v/>
      </c>
      <c r="BS13" s="23" t="str">
        <f t="shared" si="45"/>
        <v/>
      </c>
      <c r="BT13" s="23" t="str">
        <f t="shared" si="46"/>
        <v/>
      </c>
      <c r="BU13" s="23" t="str">
        <f t="shared" si="46"/>
        <v/>
      </c>
      <c r="BV13" s="23" t="str">
        <f t="shared" si="46"/>
        <v/>
      </c>
      <c r="BW13" s="23" t="str">
        <f t="shared" si="46"/>
        <v/>
      </c>
      <c r="BX13" s="23" t="str">
        <f t="shared" si="46"/>
        <v/>
      </c>
      <c r="BY13" s="23" t="str">
        <f t="shared" si="46"/>
        <v/>
      </c>
      <c r="BZ13" s="23" t="str">
        <f t="shared" si="46"/>
        <v/>
      </c>
      <c r="CA13" s="23" t="str">
        <f t="shared" si="46"/>
        <v/>
      </c>
      <c r="CB13" s="23" t="str">
        <f t="shared" si="46"/>
        <v/>
      </c>
      <c r="CC13" s="23" t="str">
        <f t="shared" si="46"/>
        <v/>
      </c>
      <c r="CD13" s="23" t="str">
        <f t="shared" si="47"/>
        <v/>
      </c>
      <c r="CE13" s="23" t="str">
        <f t="shared" si="47"/>
        <v/>
      </c>
      <c r="CF13" s="23" t="str">
        <f t="shared" si="47"/>
        <v/>
      </c>
      <c r="CG13" s="23" t="str">
        <f t="shared" si="47"/>
        <v/>
      </c>
      <c r="CH13" s="23" t="str">
        <f t="shared" si="47"/>
        <v/>
      </c>
      <c r="CI13" s="23" t="str">
        <f t="shared" si="47"/>
        <v/>
      </c>
      <c r="CJ13" s="23" t="str">
        <f t="shared" si="47"/>
        <v/>
      </c>
      <c r="CK13" s="23" t="str">
        <f t="shared" si="47"/>
        <v/>
      </c>
      <c r="CL13" s="23" t="str">
        <f t="shared" si="47"/>
        <v/>
      </c>
      <c r="CM13" s="23" t="str">
        <f t="shared" si="47"/>
        <v/>
      </c>
      <c r="CN13" s="23" t="str">
        <f t="shared" si="48"/>
        <v/>
      </c>
      <c r="CO13" s="23" t="str">
        <f t="shared" si="48"/>
        <v/>
      </c>
      <c r="CP13" s="23" t="str">
        <f t="shared" si="48"/>
        <v/>
      </c>
      <c r="CQ13" s="23" t="str">
        <f t="shared" si="48"/>
        <v/>
      </c>
      <c r="CR13" s="23" t="str">
        <f t="shared" si="48"/>
        <v/>
      </c>
      <c r="CS13" s="23" t="str">
        <f t="shared" si="48"/>
        <v/>
      </c>
      <c r="CT13" s="23" t="str">
        <f t="shared" si="48"/>
        <v/>
      </c>
      <c r="CU13" s="23" t="str">
        <f t="shared" si="48"/>
        <v/>
      </c>
      <c r="CV13" s="23" t="str">
        <f t="shared" si="48"/>
        <v/>
      </c>
      <c r="CW13" s="23" t="str">
        <f t="shared" si="48"/>
        <v/>
      </c>
      <c r="CX13" s="23" t="str">
        <f t="shared" si="49"/>
        <v/>
      </c>
      <c r="CY13" s="23" t="str">
        <f t="shared" si="49"/>
        <v/>
      </c>
      <c r="CZ13" s="23" t="str">
        <f t="shared" si="49"/>
        <v/>
      </c>
      <c r="DA13" s="23" t="str">
        <f t="shared" si="49"/>
        <v/>
      </c>
      <c r="DB13" s="23" t="str">
        <f t="shared" si="49"/>
        <v/>
      </c>
      <c r="DC13" s="23" t="str">
        <f t="shared" si="49"/>
        <v/>
      </c>
      <c r="DD13" s="23" t="str">
        <f t="shared" si="49"/>
        <v/>
      </c>
      <c r="DE13" s="23" t="str">
        <f t="shared" si="49"/>
        <v/>
      </c>
      <c r="DF13" s="23" t="str">
        <f t="shared" si="49"/>
        <v/>
      </c>
      <c r="DG13" s="23" t="str">
        <f t="shared" si="49"/>
        <v/>
      </c>
      <c r="DH13" s="23" t="str">
        <f t="shared" si="49"/>
        <v/>
      </c>
      <c r="DI13" s="23" t="str">
        <f t="shared" si="49"/>
        <v/>
      </c>
      <c r="DJ13" s="23" t="str">
        <f t="shared" si="49"/>
        <v/>
      </c>
      <c r="DK13" s="23" t="str">
        <f t="shared" si="49"/>
        <v/>
      </c>
      <c r="DO13" s="61">
        <f t="shared" si="53"/>
        <v>8</v>
      </c>
      <c r="DP13" s="61">
        <f>IF($A13&lt;&gt;"x",$L13*SUMIFS($AF13:$DK13,$AF$4:$DK$4,Jahresscheiben!C$2),0)</f>
        <v>0</v>
      </c>
      <c r="DQ13" s="61">
        <f>IF($A13&lt;&gt;"x",$L13*SUMIFS($AF13:$DK13,$AF$4:$DK$4,Jahresscheiben!D$2),0)</f>
        <v>0</v>
      </c>
      <c r="DR13" s="61">
        <f>IF($A13&lt;&gt;"x",$L13*SUMIFS($AF13:$DK13,$AF$4:$DK$4,Jahresscheiben!E$2),0)</f>
        <v>0</v>
      </c>
      <c r="DS13" s="61">
        <f>IF($A13&lt;&gt;"x",$L13*SUMIFS($AF13:$DK13,$AF$4:$DK$4,Jahresscheiben!F$2),0)</f>
        <v>0</v>
      </c>
      <c r="DT13" s="61">
        <f>IF($A13&lt;&gt;"x",$L13*SUMIFS($AF13:$DK13,$AF$4:$DK$4,Jahresscheiben!G$2),0)</f>
        <v>0</v>
      </c>
      <c r="DU13" s="61">
        <f>IF($A13&lt;&gt;"x",$L13*SUMIFS($AF13:$DK13,$AF$4:$DK$4,Jahresscheiben!H$2),0)</f>
        <v>0</v>
      </c>
      <c r="DV13" s="61">
        <f>IF($A13&lt;&gt;"x",$L13*SUMIFS($AF13:$DK13,$AF$4:$DK$4,Jahresscheiben!I$2),0)</f>
        <v>0</v>
      </c>
      <c r="DW13" s="85"/>
      <c r="DX13" s="61">
        <f t="shared" si="54"/>
        <v>8</v>
      </c>
      <c r="DY13" s="85">
        <f>IF($A13="x",$L13*SUMIFS($AF13:$DK13,$AF$4:$DK$4,Jahresscheiben!C$2)/2,0)</f>
        <v>35</v>
      </c>
      <c r="DZ13" s="85">
        <f>IF($A13="x",$L13*SUMIFS($AF13:$DK13,$AF$4:$DK$4,Jahresscheiben!D$2)/2,0)</f>
        <v>0</v>
      </c>
      <c r="EA13" s="85">
        <f>IF($A13="x",$L13*SUMIFS($AF13:$DK13,$AF$4:$DK$4,Jahresscheiben!E$2)/2,0)</f>
        <v>0</v>
      </c>
      <c r="EB13" s="85">
        <f>IF($A13="x",$L13*SUMIFS($AF13:$DK13,$AF$4:$DK$4,Jahresscheiben!F$2)/2,0)</f>
        <v>0</v>
      </c>
      <c r="EC13" s="85">
        <f>IF($A13="x",$L13*SUMIFS($AF13:$DK13,$AF$4:$DK$4,Jahresscheiben!G$2)/2,0)</f>
        <v>0</v>
      </c>
      <c r="ED13" s="85">
        <f>IF($A13="x",$L13*SUMIFS($AF13:$DK13,$AF$4:$DK$4,Jahresscheiben!H$2)/2,0)</f>
        <v>0</v>
      </c>
      <c r="EE13" s="85">
        <f>IF($A13="x",$L13*SUMIFS($AF13:$DK13,$AF$4:$DK$4,Jahresscheiben!I$2)/2,0)</f>
        <v>0</v>
      </c>
      <c r="EF13" s="85"/>
      <c r="EG13" s="61">
        <f t="shared" si="55"/>
        <v>8</v>
      </c>
      <c r="EH13" s="85" cm="1">
        <f t="array" ref="EH1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1.0681858643403952</v>
      </c>
      <c r="EI13" s="85" cm="1">
        <f t="array" ref="EI1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0</v>
      </c>
      <c r="EJ13" s="85" cm="1">
        <f t="array" ref="EJ1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</v>
      </c>
      <c r="EK13" s="85" cm="1">
        <f t="array" ref="EK1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13" s="85" cm="1">
        <f t="array" ref="EL1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13" s="85" cm="1">
        <f t="array" ref="EM1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13" s="85" cm="1">
        <f t="array" ref="EN1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13" s="85"/>
      <c r="EQ13" s="61">
        <f t="shared" si="56"/>
        <v>8</v>
      </c>
      <c r="ER13" s="62">
        <f>IF($A13&lt;&gt;"x",$P13*SUMIFS($AF13:$DK13,$AF$4:$DK$4,Jahresscheiben!C$2),0)</f>
        <v>0</v>
      </c>
      <c r="ES13" s="62">
        <f>IF($A13&lt;&gt;"x",$P13*SUMIFS($AF13:$DK13,$AF$4:$DK$4,Jahresscheiben!D$2),0)</f>
        <v>0</v>
      </c>
      <c r="ET13" s="62">
        <f>IF($A13&lt;&gt;"x",$P13*SUMIFS($AF13:$DK13,$AF$4:$DK$4,Jahresscheiben!E$2),0)</f>
        <v>0</v>
      </c>
      <c r="EU13" s="62">
        <f>IF($A13&lt;&gt;"x",$P13*SUMIFS($AF13:$DK13,$AF$4:$DK$4,Jahresscheiben!F$2),0)</f>
        <v>0</v>
      </c>
      <c r="EV13" s="62">
        <f>IF($A13&lt;&gt;"x",$P13*SUMIFS($AF13:$DK13,$AF$4:$DK$4,Jahresscheiben!G$2),0)</f>
        <v>0</v>
      </c>
      <c r="EW13" s="62">
        <f>IF($A13&lt;&gt;"x",$P13*SUMIFS($AF13:$DK13,$AF$4:$DK$4,Jahresscheiben!H$2),0)</f>
        <v>0</v>
      </c>
      <c r="EX13" s="62">
        <f>IF($A13&lt;&gt;"x",$P13*SUMIFS($AF13:$DK13,$AF$4:$DK$4,Jahresscheiben!I$2),0)</f>
        <v>0</v>
      </c>
      <c r="EY13" s="85"/>
      <c r="EZ13" s="61">
        <f t="shared" si="57"/>
        <v>8</v>
      </c>
      <c r="FA13" s="85">
        <f>IF($A13="x",$P13*SUMIFS($AF13:$DK13,$AF$4:$DK$4,Jahresscheiben!C$2)/2,0)</f>
        <v>35</v>
      </c>
      <c r="FB13" s="85">
        <f>IF($A13="x",$P13*SUMIFS($AF13:$DK13,$AF$4:$DK$4,Jahresscheiben!D$2)/2,0)</f>
        <v>0</v>
      </c>
      <c r="FC13" s="85">
        <f>IF($A13="x",$P13*SUMIFS($AF13:$DK13,$AF$4:$DK$4,Jahresscheiben!E$2)/2,0)</f>
        <v>0</v>
      </c>
      <c r="FD13" s="85">
        <f>IF($A13="x",$P13*SUMIFS($AF13:$DK13,$AF$4:$DK$4,Jahresscheiben!F$2)/2,0)</f>
        <v>0</v>
      </c>
      <c r="FE13" s="85">
        <f>IF($A13="x",$P13*SUMIFS($AF13:$DK13,$AF$4:$DK$4,Jahresscheiben!G$2)/2,0)</f>
        <v>0</v>
      </c>
      <c r="FF13" s="85">
        <f>IF($A13="x",$P13*SUMIFS($AF13:$DK13,$AF$4:$DK$4,Jahresscheiben!H$2)/2,0)</f>
        <v>0</v>
      </c>
      <c r="FG13" s="85">
        <f>IF($A13="x",$P13*SUMIFS($AF13:$DK13,$AF$4:$DK$4,Jahresscheiben!I$2)/2,0)</f>
        <v>0</v>
      </c>
      <c r="FH13" s="85"/>
      <c r="FI13" s="61">
        <f t="shared" si="58"/>
        <v>8</v>
      </c>
      <c r="FJ13" s="85" cm="1">
        <f t="array" ref="FJ1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1.0681858643403952</v>
      </c>
      <c r="FK13" s="85" cm="1">
        <f t="array" ref="FK1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0</v>
      </c>
      <c r="FL13" s="85" cm="1">
        <f t="array" ref="FL1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</v>
      </c>
      <c r="FM13" s="85" cm="1">
        <f t="array" ref="FM1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13" s="85" cm="1">
        <f t="array" ref="FN1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13" s="85" cm="1">
        <f t="array" ref="FO1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13" s="85" cm="1">
        <f t="array" ref="FP1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14" spans="1:172" ht="17" customHeight="1" thickBot="1" x14ac:dyDescent="0.55000000000000004">
      <c r="A14" s="29" t="s">
        <v>24</v>
      </c>
      <c r="B14" s="31">
        <f t="shared" si="50"/>
        <v>141</v>
      </c>
      <c r="C14" s="22">
        <f t="shared" si="51"/>
        <v>9</v>
      </c>
      <c r="D14" s="71" t="s">
        <v>59</v>
      </c>
      <c r="E14" s="7"/>
      <c r="F14" s="7">
        <v>7</v>
      </c>
      <c r="G14" s="7">
        <v>11</v>
      </c>
      <c r="H14" s="7"/>
      <c r="I14" s="6">
        <f t="shared" si="40"/>
        <v>46234</v>
      </c>
      <c r="J14" s="6">
        <f t="shared" si="41"/>
        <v>46356</v>
      </c>
      <c r="K14" s="7"/>
      <c r="L14" s="53">
        <v>9</v>
      </c>
      <c r="M14" s="60" cm="1">
        <f t="array" ref="M14" xml:space="preserve">
_xlfn.LET(
_xlpm.Z, _xlfn._xlws.FILTER($DY$6:$EE$65,$DX$6:$DX$65=C14),
_xlpm.Q,_xlfn._xlws.FILTER($DP$6:$DV$65,$DO$6:$DO$65=C14),
IF($A14="x",SUMPRODUCT(_xlpm.Z,$DY$73:$EE$73,EH14:EN14),SUMPRODUCT(_xlpm.Q,$DP$73:$DV$73)))</f>
        <v>0</v>
      </c>
      <c r="N14" s="54" t="str" cm="1">
        <f t="array" ref="N14" xml:space="preserve">
_xlfn.LET(
_xlpm.Z, SUM(IF($A14="x",_xlfn._xlws.FILTER($M$6:$M$65,$A$6:$A$65="x"),_xlfn._xlws.FILTER($M$6:$M$65,$A$6:$A$65&lt;&gt;"x"))),
IF(_xlpm.Z&lt;&gt;0,M14/_xlpm.Z,""))</f>
        <v/>
      </c>
      <c r="O14" s="7"/>
      <c r="P14" s="53">
        <f t="shared" si="52"/>
        <v>9</v>
      </c>
      <c r="Q14" s="60" cm="1">
        <f t="array" ref="Q14" xml:space="preserve">
_xlfn.LET(
_xlpm.Z, _xlfn._xlws.FILTER($FA$6:$FG$65,$EZ$6:$EZ$65=C14),
_xlpm.Q,_xlfn._xlws.FILTER($ER$6:$EX$65,$EQ$6:$EQ$65=C14),
IF($A14="x",SUMPRODUCT(_xlpm.Z,$FA$73:$FG$73,FJ14:FP14),SUMPRODUCT(_xlpm.Q,$ER$73:$EX$73)))</f>
        <v>0</v>
      </c>
      <c r="R14" s="54" t="str" cm="1">
        <f t="array" ref="R14" xml:space="preserve">
_xlfn.LET(
_xlpm.Z, SUM(IF($A14="x",_xlfn._xlws.FILTER($Q$6:$Q$65,$A$6:$A$65="x"),_xlfn._xlws.FILTER($Q$6:$Q$65,$A$6:$A$65&lt;&gt;"x"))),
IF(_xlpm.Z&lt;&gt;0,Q14/_xlpm.Z,""))</f>
        <v/>
      </c>
      <c r="S14" s="7"/>
      <c r="T14" s="6"/>
      <c r="U14" s="6"/>
      <c r="V14" s="6"/>
      <c r="W14" s="6"/>
      <c r="X14" s="6"/>
      <c r="Y14" s="6"/>
      <c r="Z14" s="6"/>
      <c r="AA14" s="6"/>
      <c r="AB14" s="6"/>
      <c r="AC14" s="6"/>
      <c r="AD14" s="7"/>
      <c r="AE14" s="7"/>
      <c r="AF14" s="23" t="str">
        <f t="shared" si="42"/>
        <v/>
      </c>
      <c r="AG14" s="23" t="str">
        <f t="shared" si="42"/>
        <v/>
      </c>
      <c r="AH14" s="23" t="str">
        <f t="shared" si="42"/>
        <v/>
      </c>
      <c r="AI14" s="23" t="str">
        <f t="shared" si="42"/>
        <v/>
      </c>
      <c r="AJ14" s="23" t="str">
        <f t="shared" si="42"/>
        <v/>
      </c>
      <c r="AK14" s="23" t="str">
        <f t="shared" si="42"/>
        <v/>
      </c>
      <c r="AL14" s="23">
        <f t="shared" si="42"/>
        <v>2</v>
      </c>
      <c r="AM14" s="23">
        <f t="shared" si="42"/>
        <v>2</v>
      </c>
      <c r="AN14" s="23">
        <f t="shared" si="42"/>
        <v>2</v>
      </c>
      <c r="AO14" s="23">
        <f t="shared" si="42"/>
        <v>2</v>
      </c>
      <c r="AP14" s="23">
        <f t="shared" si="43"/>
        <v>2</v>
      </c>
      <c r="AQ14" s="23" t="str">
        <f t="shared" si="43"/>
        <v/>
      </c>
      <c r="AR14" s="23" t="str">
        <f t="shared" si="43"/>
        <v/>
      </c>
      <c r="AS14" s="23" t="str">
        <f t="shared" si="43"/>
        <v/>
      </c>
      <c r="AT14" s="23" t="str">
        <f t="shared" si="43"/>
        <v/>
      </c>
      <c r="AU14" s="23" t="str">
        <f t="shared" si="43"/>
        <v/>
      </c>
      <c r="AV14" s="23" t="str">
        <f t="shared" si="43"/>
        <v/>
      </c>
      <c r="AW14" s="23" t="str">
        <f t="shared" si="43"/>
        <v/>
      </c>
      <c r="AX14" s="23" t="str">
        <f t="shared" si="43"/>
        <v/>
      </c>
      <c r="AY14" s="23" t="str">
        <f t="shared" si="43"/>
        <v/>
      </c>
      <c r="AZ14" s="23" t="str">
        <f t="shared" si="44"/>
        <v/>
      </c>
      <c r="BA14" s="23" t="str">
        <f t="shared" si="44"/>
        <v/>
      </c>
      <c r="BB14" s="23" t="str">
        <f t="shared" si="44"/>
        <v/>
      </c>
      <c r="BC14" s="23" t="str">
        <f t="shared" si="44"/>
        <v/>
      </c>
      <c r="BD14" s="23" t="str">
        <f t="shared" si="44"/>
        <v/>
      </c>
      <c r="BE14" s="23" t="str">
        <f t="shared" si="44"/>
        <v/>
      </c>
      <c r="BF14" s="23" t="str">
        <f t="shared" si="44"/>
        <v/>
      </c>
      <c r="BG14" s="23" t="str">
        <f t="shared" si="44"/>
        <v/>
      </c>
      <c r="BH14" s="23" t="str">
        <f t="shared" si="44"/>
        <v/>
      </c>
      <c r="BI14" s="23" t="str">
        <f t="shared" si="44"/>
        <v/>
      </c>
      <c r="BJ14" s="23" t="str">
        <f t="shared" si="45"/>
        <v/>
      </c>
      <c r="BK14" s="23" t="str">
        <f t="shared" si="45"/>
        <v/>
      </c>
      <c r="BL14" s="23" t="str">
        <f t="shared" si="45"/>
        <v/>
      </c>
      <c r="BM14" s="23" t="str">
        <f t="shared" si="45"/>
        <v/>
      </c>
      <c r="BN14" s="23" t="str">
        <f t="shared" si="45"/>
        <v/>
      </c>
      <c r="BO14" s="23" t="str">
        <f t="shared" si="45"/>
        <v/>
      </c>
      <c r="BP14" s="23" t="str">
        <f t="shared" si="45"/>
        <v/>
      </c>
      <c r="BQ14" s="23" t="str">
        <f t="shared" si="45"/>
        <v/>
      </c>
      <c r="BR14" s="23" t="str">
        <f t="shared" si="45"/>
        <v/>
      </c>
      <c r="BS14" s="23" t="str">
        <f t="shared" si="45"/>
        <v/>
      </c>
      <c r="BT14" s="23" t="str">
        <f t="shared" si="46"/>
        <v/>
      </c>
      <c r="BU14" s="23" t="str">
        <f t="shared" si="46"/>
        <v/>
      </c>
      <c r="BV14" s="23" t="str">
        <f t="shared" si="46"/>
        <v/>
      </c>
      <c r="BW14" s="23" t="str">
        <f t="shared" si="46"/>
        <v/>
      </c>
      <c r="BX14" s="23" t="str">
        <f t="shared" si="46"/>
        <v/>
      </c>
      <c r="BY14" s="23" t="str">
        <f t="shared" si="46"/>
        <v/>
      </c>
      <c r="BZ14" s="23" t="str">
        <f t="shared" si="46"/>
        <v/>
      </c>
      <c r="CA14" s="23" t="str">
        <f t="shared" si="46"/>
        <v/>
      </c>
      <c r="CB14" s="23" t="str">
        <f t="shared" si="46"/>
        <v/>
      </c>
      <c r="CC14" s="23" t="str">
        <f t="shared" si="46"/>
        <v/>
      </c>
      <c r="CD14" s="23" t="str">
        <f t="shared" si="47"/>
        <v/>
      </c>
      <c r="CE14" s="23" t="str">
        <f t="shared" si="47"/>
        <v/>
      </c>
      <c r="CF14" s="23" t="str">
        <f t="shared" si="47"/>
        <v/>
      </c>
      <c r="CG14" s="23" t="str">
        <f t="shared" si="47"/>
        <v/>
      </c>
      <c r="CH14" s="23" t="str">
        <f t="shared" si="47"/>
        <v/>
      </c>
      <c r="CI14" s="23" t="str">
        <f t="shared" si="47"/>
        <v/>
      </c>
      <c r="CJ14" s="23" t="str">
        <f t="shared" si="47"/>
        <v/>
      </c>
      <c r="CK14" s="23" t="str">
        <f t="shared" si="47"/>
        <v/>
      </c>
      <c r="CL14" s="23" t="str">
        <f t="shared" si="47"/>
        <v/>
      </c>
      <c r="CM14" s="23" t="str">
        <f t="shared" si="47"/>
        <v/>
      </c>
      <c r="CN14" s="23" t="str">
        <f t="shared" si="48"/>
        <v/>
      </c>
      <c r="CO14" s="23" t="str">
        <f t="shared" si="48"/>
        <v/>
      </c>
      <c r="CP14" s="23" t="str">
        <f t="shared" si="48"/>
        <v/>
      </c>
      <c r="CQ14" s="23" t="str">
        <f t="shared" si="48"/>
        <v/>
      </c>
      <c r="CR14" s="23" t="str">
        <f t="shared" si="48"/>
        <v/>
      </c>
      <c r="CS14" s="23" t="str">
        <f t="shared" si="48"/>
        <v/>
      </c>
      <c r="CT14" s="23" t="str">
        <f t="shared" si="48"/>
        <v/>
      </c>
      <c r="CU14" s="23" t="str">
        <f t="shared" si="48"/>
        <v/>
      </c>
      <c r="CV14" s="23" t="str">
        <f t="shared" si="48"/>
        <v/>
      </c>
      <c r="CW14" s="23" t="str">
        <f t="shared" si="48"/>
        <v/>
      </c>
      <c r="CX14" s="23" t="str">
        <f t="shared" si="49"/>
        <v/>
      </c>
      <c r="CY14" s="23" t="str">
        <f t="shared" si="49"/>
        <v/>
      </c>
      <c r="CZ14" s="23" t="str">
        <f t="shared" si="49"/>
        <v/>
      </c>
      <c r="DA14" s="23" t="str">
        <f t="shared" si="49"/>
        <v/>
      </c>
      <c r="DB14" s="23" t="str">
        <f t="shared" si="49"/>
        <v/>
      </c>
      <c r="DC14" s="23" t="str">
        <f t="shared" si="49"/>
        <v/>
      </c>
      <c r="DD14" s="23" t="str">
        <f t="shared" si="49"/>
        <v/>
      </c>
      <c r="DE14" s="23" t="str">
        <f t="shared" si="49"/>
        <v/>
      </c>
      <c r="DF14" s="23" t="str">
        <f t="shared" si="49"/>
        <v/>
      </c>
      <c r="DG14" s="23" t="str">
        <f t="shared" si="49"/>
        <v/>
      </c>
      <c r="DH14" s="23" t="str">
        <f t="shared" si="49"/>
        <v/>
      </c>
      <c r="DI14" s="23" t="str">
        <f t="shared" si="49"/>
        <v/>
      </c>
      <c r="DJ14" s="23" t="str">
        <f t="shared" si="49"/>
        <v/>
      </c>
      <c r="DK14" s="23" t="str">
        <f t="shared" si="49"/>
        <v/>
      </c>
      <c r="DO14" s="61">
        <f t="shared" si="53"/>
        <v>9</v>
      </c>
      <c r="DP14" s="61">
        <f>IF($A14&lt;&gt;"x",$L14*SUMIFS($AF14:$DK14,$AF$4:$DK$4,Jahresscheiben!C$2),0)</f>
        <v>0</v>
      </c>
      <c r="DQ14" s="61">
        <f>IF($A14&lt;&gt;"x",$L14*SUMIFS($AF14:$DK14,$AF$4:$DK$4,Jahresscheiben!D$2),0)</f>
        <v>0</v>
      </c>
      <c r="DR14" s="61">
        <f>IF($A14&lt;&gt;"x",$L14*SUMIFS($AF14:$DK14,$AF$4:$DK$4,Jahresscheiben!E$2),0)</f>
        <v>0</v>
      </c>
      <c r="DS14" s="61">
        <f>IF($A14&lt;&gt;"x",$L14*SUMIFS($AF14:$DK14,$AF$4:$DK$4,Jahresscheiben!F$2),0)</f>
        <v>0</v>
      </c>
      <c r="DT14" s="61">
        <f>IF($A14&lt;&gt;"x",$L14*SUMIFS($AF14:$DK14,$AF$4:$DK$4,Jahresscheiben!G$2),0)</f>
        <v>0</v>
      </c>
      <c r="DU14" s="61">
        <f>IF($A14&lt;&gt;"x",$L14*SUMIFS($AF14:$DK14,$AF$4:$DK$4,Jahresscheiben!H$2),0)</f>
        <v>0</v>
      </c>
      <c r="DV14" s="61">
        <f>IF($A14&lt;&gt;"x",$L14*SUMIFS($AF14:$DK14,$AF$4:$DK$4,Jahresscheiben!I$2),0)</f>
        <v>0</v>
      </c>
      <c r="DW14" s="85"/>
      <c r="DX14" s="61">
        <f t="shared" si="54"/>
        <v>9</v>
      </c>
      <c r="DY14" s="85">
        <f>IF($A14="x",$L14*SUMIFS($AF14:$DK14,$AF$4:$DK$4,Jahresscheiben!C$2)/2,0)</f>
        <v>45</v>
      </c>
      <c r="DZ14" s="85">
        <f>IF($A14="x",$L14*SUMIFS($AF14:$DK14,$AF$4:$DK$4,Jahresscheiben!D$2)/2,0)</f>
        <v>0</v>
      </c>
      <c r="EA14" s="85">
        <f>IF($A14="x",$L14*SUMIFS($AF14:$DK14,$AF$4:$DK$4,Jahresscheiben!E$2)/2,0)</f>
        <v>0</v>
      </c>
      <c r="EB14" s="85">
        <f>IF($A14="x",$L14*SUMIFS($AF14:$DK14,$AF$4:$DK$4,Jahresscheiben!F$2)/2,0)</f>
        <v>0</v>
      </c>
      <c r="EC14" s="85">
        <f>IF($A14="x",$L14*SUMIFS($AF14:$DK14,$AF$4:$DK$4,Jahresscheiben!G$2)/2,0)</f>
        <v>0</v>
      </c>
      <c r="ED14" s="85">
        <f>IF($A14="x",$L14*SUMIFS($AF14:$DK14,$AF$4:$DK$4,Jahresscheiben!H$2)/2,0)</f>
        <v>0</v>
      </c>
      <c r="EE14" s="85">
        <f>IF($A14="x",$L14*SUMIFS($AF14:$DK14,$AF$4:$DK$4,Jahresscheiben!I$2)/2,0)</f>
        <v>0</v>
      </c>
      <c r="EF14" s="85"/>
      <c r="EG14" s="61">
        <f t="shared" si="55"/>
        <v>9</v>
      </c>
      <c r="EH14" s="85" cm="1">
        <f t="array" ref="EH1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1.0681858643403952</v>
      </c>
      <c r="EI14" s="85" cm="1">
        <f t="array" ref="EI1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0</v>
      </c>
      <c r="EJ14" s="85" cm="1">
        <f t="array" ref="EJ1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</v>
      </c>
      <c r="EK14" s="85" cm="1">
        <f t="array" ref="EK1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14" s="85" cm="1">
        <f t="array" ref="EL1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14" s="85" cm="1">
        <f t="array" ref="EM1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14" s="85" cm="1">
        <f t="array" ref="EN1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14" s="85"/>
      <c r="EQ14" s="61">
        <f t="shared" si="56"/>
        <v>9</v>
      </c>
      <c r="ER14" s="62">
        <f>IF($A14&lt;&gt;"x",$P14*SUMIFS($AF14:$DK14,$AF$4:$DK$4,Jahresscheiben!C$2),0)</f>
        <v>0</v>
      </c>
      <c r="ES14" s="62">
        <f>IF($A14&lt;&gt;"x",$P14*SUMIFS($AF14:$DK14,$AF$4:$DK$4,Jahresscheiben!D$2),0)</f>
        <v>0</v>
      </c>
      <c r="ET14" s="62">
        <f>IF($A14&lt;&gt;"x",$P14*SUMIFS($AF14:$DK14,$AF$4:$DK$4,Jahresscheiben!E$2),0)</f>
        <v>0</v>
      </c>
      <c r="EU14" s="62">
        <f>IF($A14&lt;&gt;"x",$P14*SUMIFS($AF14:$DK14,$AF$4:$DK$4,Jahresscheiben!F$2),0)</f>
        <v>0</v>
      </c>
      <c r="EV14" s="62">
        <f>IF($A14&lt;&gt;"x",$P14*SUMIFS($AF14:$DK14,$AF$4:$DK$4,Jahresscheiben!G$2),0)</f>
        <v>0</v>
      </c>
      <c r="EW14" s="62">
        <f>IF($A14&lt;&gt;"x",$P14*SUMIFS($AF14:$DK14,$AF$4:$DK$4,Jahresscheiben!H$2),0)</f>
        <v>0</v>
      </c>
      <c r="EX14" s="62">
        <f>IF($A14&lt;&gt;"x",$P14*SUMIFS($AF14:$DK14,$AF$4:$DK$4,Jahresscheiben!I$2),0)</f>
        <v>0</v>
      </c>
      <c r="EY14" s="85"/>
      <c r="EZ14" s="61">
        <f t="shared" si="57"/>
        <v>9</v>
      </c>
      <c r="FA14" s="85">
        <f>IF($A14="x",$P14*SUMIFS($AF14:$DK14,$AF$4:$DK$4,Jahresscheiben!C$2)/2,0)</f>
        <v>45</v>
      </c>
      <c r="FB14" s="85">
        <f>IF($A14="x",$P14*SUMIFS($AF14:$DK14,$AF$4:$DK$4,Jahresscheiben!D$2)/2,0)</f>
        <v>0</v>
      </c>
      <c r="FC14" s="85">
        <f>IF($A14="x",$P14*SUMIFS($AF14:$DK14,$AF$4:$DK$4,Jahresscheiben!E$2)/2,0)</f>
        <v>0</v>
      </c>
      <c r="FD14" s="85">
        <f>IF($A14="x",$P14*SUMIFS($AF14:$DK14,$AF$4:$DK$4,Jahresscheiben!F$2)/2,0)</f>
        <v>0</v>
      </c>
      <c r="FE14" s="85">
        <f>IF($A14="x",$P14*SUMIFS($AF14:$DK14,$AF$4:$DK$4,Jahresscheiben!G$2)/2,0)</f>
        <v>0</v>
      </c>
      <c r="FF14" s="85">
        <f>IF($A14="x",$P14*SUMIFS($AF14:$DK14,$AF$4:$DK$4,Jahresscheiben!H$2)/2,0)</f>
        <v>0</v>
      </c>
      <c r="FG14" s="85">
        <f>IF($A14="x",$P14*SUMIFS($AF14:$DK14,$AF$4:$DK$4,Jahresscheiben!I$2)/2,0)</f>
        <v>0</v>
      </c>
      <c r="FH14" s="85"/>
      <c r="FI14" s="61">
        <f t="shared" si="58"/>
        <v>9</v>
      </c>
      <c r="FJ14" s="85" cm="1">
        <f t="array" ref="FJ1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1.0681858643403952</v>
      </c>
      <c r="FK14" s="85" cm="1">
        <f t="array" ref="FK1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0</v>
      </c>
      <c r="FL14" s="85" cm="1">
        <f t="array" ref="FL1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</v>
      </c>
      <c r="FM14" s="85" cm="1">
        <f t="array" ref="FM1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14" s="85" cm="1">
        <f t="array" ref="FN1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14" s="85" cm="1">
        <f t="array" ref="FO1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14" s="85" cm="1">
        <f t="array" ref="FP1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15" spans="1:172" ht="17" customHeight="1" thickBot="1" x14ac:dyDescent="0.55000000000000004">
      <c r="A15" s="30" t="s">
        <v>24</v>
      </c>
      <c r="B15" s="31">
        <f t="shared" si="50"/>
        <v>146</v>
      </c>
      <c r="C15" s="22">
        <f t="shared" si="51"/>
        <v>10</v>
      </c>
      <c r="D15" s="71" t="s">
        <v>60</v>
      </c>
      <c r="E15" s="26"/>
      <c r="F15" s="26">
        <v>10</v>
      </c>
      <c r="G15" s="26">
        <v>12</v>
      </c>
      <c r="H15" s="26"/>
      <c r="I15" s="6">
        <f t="shared" si="40"/>
        <v>46326</v>
      </c>
      <c r="J15" s="6">
        <f t="shared" si="41"/>
        <v>46387</v>
      </c>
      <c r="K15" s="26"/>
      <c r="L15" s="53">
        <v>5</v>
      </c>
      <c r="M15" s="60" cm="1">
        <f t="array" ref="M15" xml:space="preserve">
_xlfn.LET(
_xlpm.Z, _xlfn._xlws.FILTER($DY$6:$EE$65,$DX$6:$DX$65=C15),
_xlpm.Q,_xlfn._xlws.FILTER($DP$6:$DV$65,$DO$6:$DO$65=C15),
IF($A15="x",SUMPRODUCT(_xlpm.Z,$DY$73:$EE$73,EH15:EN15),SUMPRODUCT(_xlpm.Q,$DP$73:$DV$73)))</f>
        <v>0</v>
      </c>
      <c r="N15" s="54" t="str" cm="1">
        <f t="array" ref="N15" xml:space="preserve">
_xlfn.LET(
_xlpm.Z, SUM(IF($A15="x",_xlfn._xlws.FILTER($M$6:$M$65,$A$6:$A$65="x"),_xlfn._xlws.FILTER($M$6:$M$65,$A$6:$A$65&lt;&gt;"x"))),
IF(_xlpm.Z&lt;&gt;0,M15/_xlpm.Z,""))</f>
        <v/>
      </c>
      <c r="O15" s="26"/>
      <c r="P15" s="53">
        <f t="shared" si="52"/>
        <v>5</v>
      </c>
      <c r="Q15" s="60" cm="1">
        <f t="array" ref="Q15" xml:space="preserve">
_xlfn.LET(
_xlpm.Z, _xlfn._xlws.FILTER($FA$6:$FG$65,$EZ$6:$EZ$65=C15),
_xlpm.Q,_xlfn._xlws.FILTER($ER$6:$EX$65,$EQ$6:$EQ$65=C15),
IF($A15="x",SUMPRODUCT(_xlpm.Z,$FA$73:$FG$73,FJ15:FP15),SUMPRODUCT(_xlpm.Q,$ER$73:$EX$73)))</f>
        <v>0</v>
      </c>
      <c r="R15" s="54" t="str" cm="1">
        <f t="array" ref="R15" xml:space="preserve">
_xlfn.LET(
_xlpm.Z, SUM(IF($A15="x",_xlfn._xlws.FILTER($Q$6:$Q$65,$A$6:$A$65="x"),_xlfn._xlws.FILTER($Q$6:$Q$65,$A$6:$A$65&lt;&gt;"x"))),
IF(_xlpm.Z&lt;&gt;0,Q15/_xlpm.Z,""))</f>
        <v/>
      </c>
      <c r="S15" s="26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8"/>
      <c r="AE15" s="28"/>
      <c r="AF15" s="23" t="str">
        <f t="shared" si="42"/>
        <v/>
      </c>
      <c r="AG15" s="23" t="str">
        <f t="shared" si="42"/>
        <v/>
      </c>
      <c r="AH15" s="23" t="str">
        <f t="shared" si="42"/>
        <v/>
      </c>
      <c r="AI15" s="23" t="str">
        <f t="shared" si="42"/>
        <v/>
      </c>
      <c r="AJ15" s="23" t="str">
        <f t="shared" si="42"/>
        <v/>
      </c>
      <c r="AK15" s="23" t="str">
        <f t="shared" si="42"/>
        <v/>
      </c>
      <c r="AL15" s="23" t="str">
        <f t="shared" si="42"/>
        <v/>
      </c>
      <c r="AM15" s="23" t="str">
        <f t="shared" si="42"/>
        <v/>
      </c>
      <c r="AN15" s="23" t="str">
        <f t="shared" si="42"/>
        <v/>
      </c>
      <c r="AO15" s="23">
        <f t="shared" si="42"/>
        <v>2</v>
      </c>
      <c r="AP15" s="23">
        <f t="shared" si="43"/>
        <v>2</v>
      </c>
      <c r="AQ15" s="23">
        <f t="shared" si="43"/>
        <v>2</v>
      </c>
      <c r="AR15" s="23" t="str">
        <f t="shared" si="43"/>
        <v/>
      </c>
      <c r="AS15" s="23" t="str">
        <f t="shared" si="43"/>
        <v/>
      </c>
      <c r="AT15" s="23" t="str">
        <f t="shared" si="43"/>
        <v/>
      </c>
      <c r="AU15" s="23" t="str">
        <f t="shared" si="43"/>
        <v/>
      </c>
      <c r="AV15" s="23" t="str">
        <f t="shared" si="43"/>
        <v/>
      </c>
      <c r="AW15" s="23" t="str">
        <f t="shared" si="43"/>
        <v/>
      </c>
      <c r="AX15" s="23" t="str">
        <f t="shared" si="43"/>
        <v/>
      </c>
      <c r="AY15" s="23" t="str">
        <f t="shared" si="43"/>
        <v/>
      </c>
      <c r="AZ15" s="23" t="str">
        <f t="shared" si="44"/>
        <v/>
      </c>
      <c r="BA15" s="23" t="str">
        <f t="shared" si="44"/>
        <v/>
      </c>
      <c r="BB15" s="23" t="str">
        <f t="shared" si="44"/>
        <v/>
      </c>
      <c r="BC15" s="23" t="str">
        <f t="shared" si="44"/>
        <v/>
      </c>
      <c r="BD15" s="23" t="str">
        <f t="shared" si="44"/>
        <v/>
      </c>
      <c r="BE15" s="23" t="str">
        <f t="shared" si="44"/>
        <v/>
      </c>
      <c r="BF15" s="23" t="str">
        <f t="shared" si="44"/>
        <v/>
      </c>
      <c r="BG15" s="23" t="str">
        <f t="shared" si="44"/>
        <v/>
      </c>
      <c r="BH15" s="23" t="str">
        <f t="shared" si="44"/>
        <v/>
      </c>
      <c r="BI15" s="23" t="str">
        <f t="shared" si="44"/>
        <v/>
      </c>
      <c r="BJ15" s="23" t="str">
        <f t="shared" si="45"/>
        <v/>
      </c>
      <c r="BK15" s="23" t="str">
        <f t="shared" si="45"/>
        <v/>
      </c>
      <c r="BL15" s="23" t="str">
        <f t="shared" si="45"/>
        <v/>
      </c>
      <c r="BM15" s="23" t="str">
        <f t="shared" si="45"/>
        <v/>
      </c>
      <c r="BN15" s="23" t="str">
        <f t="shared" si="45"/>
        <v/>
      </c>
      <c r="BO15" s="23" t="str">
        <f t="shared" si="45"/>
        <v/>
      </c>
      <c r="BP15" s="23" t="str">
        <f t="shared" si="45"/>
        <v/>
      </c>
      <c r="BQ15" s="23" t="str">
        <f t="shared" si="45"/>
        <v/>
      </c>
      <c r="BR15" s="23" t="str">
        <f t="shared" si="45"/>
        <v/>
      </c>
      <c r="BS15" s="23" t="str">
        <f t="shared" si="45"/>
        <v/>
      </c>
      <c r="BT15" s="23" t="str">
        <f t="shared" si="46"/>
        <v/>
      </c>
      <c r="BU15" s="23" t="str">
        <f t="shared" si="46"/>
        <v/>
      </c>
      <c r="BV15" s="23" t="str">
        <f t="shared" si="46"/>
        <v/>
      </c>
      <c r="BW15" s="23" t="str">
        <f t="shared" si="46"/>
        <v/>
      </c>
      <c r="BX15" s="23" t="str">
        <f t="shared" si="46"/>
        <v/>
      </c>
      <c r="BY15" s="23" t="str">
        <f t="shared" si="46"/>
        <v/>
      </c>
      <c r="BZ15" s="23" t="str">
        <f t="shared" si="46"/>
        <v/>
      </c>
      <c r="CA15" s="23" t="str">
        <f t="shared" si="46"/>
        <v/>
      </c>
      <c r="CB15" s="23" t="str">
        <f t="shared" si="46"/>
        <v/>
      </c>
      <c r="CC15" s="23" t="str">
        <f t="shared" si="46"/>
        <v/>
      </c>
      <c r="CD15" s="23" t="str">
        <f t="shared" si="47"/>
        <v/>
      </c>
      <c r="CE15" s="23" t="str">
        <f t="shared" si="47"/>
        <v/>
      </c>
      <c r="CF15" s="23" t="str">
        <f t="shared" si="47"/>
        <v/>
      </c>
      <c r="CG15" s="23" t="str">
        <f t="shared" si="47"/>
        <v/>
      </c>
      <c r="CH15" s="23" t="str">
        <f t="shared" si="47"/>
        <v/>
      </c>
      <c r="CI15" s="23" t="str">
        <f t="shared" si="47"/>
        <v/>
      </c>
      <c r="CJ15" s="23" t="str">
        <f t="shared" si="47"/>
        <v/>
      </c>
      <c r="CK15" s="23" t="str">
        <f t="shared" si="47"/>
        <v/>
      </c>
      <c r="CL15" s="23" t="str">
        <f t="shared" si="47"/>
        <v/>
      </c>
      <c r="CM15" s="23" t="str">
        <f t="shared" si="47"/>
        <v/>
      </c>
      <c r="CN15" s="23" t="str">
        <f t="shared" si="48"/>
        <v/>
      </c>
      <c r="CO15" s="23" t="str">
        <f t="shared" si="48"/>
        <v/>
      </c>
      <c r="CP15" s="23" t="str">
        <f t="shared" si="48"/>
        <v/>
      </c>
      <c r="CQ15" s="23" t="str">
        <f t="shared" si="48"/>
        <v/>
      </c>
      <c r="CR15" s="23" t="str">
        <f t="shared" si="48"/>
        <v/>
      </c>
      <c r="CS15" s="23" t="str">
        <f t="shared" si="48"/>
        <v/>
      </c>
      <c r="CT15" s="23" t="str">
        <f t="shared" si="48"/>
        <v/>
      </c>
      <c r="CU15" s="23" t="str">
        <f t="shared" si="48"/>
        <v/>
      </c>
      <c r="CV15" s="23" t="str">
        <f t="shared" si="48"/>
        <v/>
      </c>
      <c r="CW15" s="23" t="str">
        <f t="shared" si="48"/>
        <v/>
      </c>
      <c r="CX15" s="23" t="str">
        <f t="shared" si="49"/>
        <v/>
      </c>
      <c r="CY15" s="23" t="str">
        <f t="shared" si="49"/>
        <v/>
      </c>
      <c r="CZ15" s="23" t="str">
        <f t="shared" si="49"/>
        <v/>
      </c>
      <c r="DA15" s="23" t="str">
        <f t="shared" si="49"/>
        <v/>
      </c>
      <c r="DB15" s="23" t="str">
        <f t="shared" si="49"/>
        <v/>
      </c>
      <c r="DC15" s="23" t="str">
        <f t="shared" si="49"/>
        <v/>
      </c>
      <c r="DD15" s="23" t="str">
        <f t="shared" si="49"/>
        <v/>
      </c>
      <c r="DE15" s="23" t="str">
        <f t="shared" si="49"/>
        <v/>
      </c>
      <c r="DF15" s="23" t="str">
        <f t="shared" si="49"/>
        <v/>
      </c>
      <c r="DG15" s="23" t="str">
        <f t="shared" si="49"/>
        <v/>
      </c>
      <c r="DH15" s="23" t="str">
        <f t="shared" si="49"/>
        <v/>
      </c>
      <c r="DI15" s="23" t="str">
        <f t="shared" si="49"/>
        <v/>
      </c>
      <c r="DJ15" s="23" t="str">
        <f t="shared" si="49"/>
        <v/>
      </c>
      <c r="DK15" s="23" t="str">
        <f t="shared" si="49"/>
        <v/>
      </c>
      <c r="DO15" s="61">
        <f t="shared" si="53"/>
        <v>10</v>
      </c>
      <c r="DP15" s="61">
        <f>IF($A15&lt;&gt;"x",$L15*SUMIFS($AF15:$DK15,$AF$4:$DK$4,Jahresscheiben!C$2),0)</f>
        <v>0</v>
      </c>
      <c r="DQ15" s="61">
        <f>IF($A15&lt;&gt;"x",$L15*SUMIFS($AF15:$DK15,$AF$4:$DK$4,Jahresscheiben!D$2),0)</f>
        <v>0</v>
      </c>
      <c r="DR15" s="61">
        <f>IF($A15&lt;&gt;"x",$L15*SUMIFS($AF15:$DK15,$AF$4:$DK$4,Jahresscheiben!E$2),0)</f>
        <v>0</v>
      </c>
      <c r="DS15" s="61">
        <f>IF($A15&lt;&gt;"x",$L15*SUMIFS($AF15:$DK15,$AF$4:$DK$4,Jahresscheiben!F$2),0)</f>
        <v>0</v>
      </c>
      <c r="DT15" s="61">
        <f>IF($A15&lt;&gt;"x",$L15*SUMIFS($AF15:$DK15,$AF$4:$DK$4,Jahresscheiben!G$2),0)</f>
        <v>0</v>
      </c>
      <c r="DU15" s="61">
        <f>IF($A15&lt;&gt;"x",$L15*SUMIFS($AF15:$DK15,$AF$4:$DK$4,Jahresscheiben!H$2),0)</f>
        <v>0</v>
      </c>
      <c r="DV15" s="61">
        <f>IF($A15&lt;&gt;"x",$L15*SUMIFS($AF15:$DK15,$AF$4:$DK$4,Jahresscheiben!I$2),0)</f>
        <v>0</v>
      </c>
      <c r="DW15" s="85"/>
      <c r="DX15" s="61">
        <f t="shared" si="54"/>
        <v>10</v>
      </c>
      <c r="DY15" s="85">
        <f>IF($A15="x",$L15*SUMIFS($AF15:$DK15,$AF$4:$DK$4,Jahresscheiben!C$2)/2,0)</f>
        <v>15</v>
      </c>
      <c r="DZ15" s="85">
        <f>IF($A15="x",$L15*SUMIFS($AF15:$DK15,$AF$4:$DK$4,Jahresscheiben!D$2)/2,0)</f>
        <v>0</v>
      </c>
      <c r="EA15" s="85">
        <f>IF($A15="x",$L15*SUMIFS($AF15:$DK15,$AF$4:$DK$4,Jahresscheiben!E$2)/2,0)</f>
        <v>0</v>
      </c>
      <c r="EB15" s="85">
        <f>IF($A15="x",$L15*SUMIFS($AF15:$DK15,$AF$4:$DK$4,Jahresscheiben!F$2)/2,0)</f>
        <v>0</v>
      </c>
      <c r="EC15" s="85">
        <f>IF($A15="x",$L15*SUMIFS($AF15:$DK15,$AF$4:$DK$4,Jahresscheiben!G$2)/2,0)</f>
        <v>0</v>
      </c>
      <c r="ED15" s="85">
        <f>IF($A15="x",$L15*SUMIFS($AF15:$DK15,$AF$4:$DK$4,Jahresscheiben!H$2)/2,0)</f>
        <v>0</v>
      </c>
      <c r="EE15" s="85">
        <f>IF($A15="x",$L15*SUMIFS($AF15:$DK15,$AF$4:$DK$4,Jahresscheiben!I$2)/2,0)</f>
        <v>0</v>
      </c>
      <c r="EF15" s="85"/>
      <c r="EG15" s="61">
        <f t="shared" si="55"/>
        <v>10</v>
      </c>
      <c r="EH15" s="85" cm="1">
        <f t="array" ref="EH1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1.0681858643403952</v>
      </c>
      <c r="EI15" s="85" cm="1">
        <f t="array" ref="EI1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0</v>
      </c>
      <c r="EJ15" s="85" cm="1">
        <f t="array" ref="EJ1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</v>
      </c>
      <c r="EK15" s="85" cm="1">
        <f t="array" ref="EK1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15" s="85" cm="1">
        <f t="array" ref="EL1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15" s="85" cm="1">
        <f t="array" ref="EM1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15" s="85" cm="1">
        <f t="array" ref="EN1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15" s="85"/>
      <c r="EQ15" s="61">
        <f t="shared" si="56"/>
        <v>10</v>
      </c>
      <c r="ER15" s="62">
        <f>IF($A15&lt;&gt;"x",$P15*SUMIFS($AF15:$DK15,$AF$4:$DK$4,Jahresscheiben!C$2),0)</f>
        <v>0</v>
      </c>
      <c r="ES15" s="62">
        <f>IF($A15&lt;&gt;"x",$P15*SUMIFS($AF15:$DK15,$AF$4:$DK$4,Jahresscheiben!D$2),0)</f>
        <v>0</v>
      </c>
      <c r="ET15" s="62">
        <f>IF($A15&lt;&gt;"x",$P15*SUMIFS($AF15:$DK15,$AF$4:$DK$4,Jahresscheiben!E$2),0)</f>
        <v>0</v>
      </c>
      <c r="EU15" s="62">
        <f>IF($A15&lt;&gt;"x",$P15*SUMIFS($AF15:$DK15,$AF$4:$DK$4,Jahresscheiben!F$2),0)</f>
        <v>0</v>
      </c>
      <c r="EV15" s="62">
        <f>IF($A15&lt;&gt;"x",$P15*SUMIFS($AF15:$DK15,$AF$4:$DK$4,Jahresscheiben!G$2),0)</f>
        <v>0</v>
      </c>
      <c r="EW15" s="62">
        <f>IF($A15&lt;&gt;"x",$P15*SUMIFS($AF15:$DK15,$AF$4:$DK$4,Jahresscheiben!H$2),0)</f>
        <v>0</v>
      </c>
      <c r="EX15" s="62">
        <f>IF($A15&lt;&gt;"x",$P15*SUMIFS($AF15:$DK15,$AF$4:$DK$4,Jahresscheiben!I$2),0)</f>
        <v>0</v>
      </c>
      <c r="EY15" s="85"/>
      <c r="EZ15" s="61">
        <f t="shared" si="57"/>
        <v>10</v>
      </c>
      <c r="FA15" s="85">
        <f>IF($A15="x",$P15*SUMIFS($AF15:$DK15,$AF$4:$DK$4,Jahresscheiben!C$2)/2,0)</f>
        <v>15</v>
      </c>
      <c r="FB15" s="85">
        <f>IF($A15="x",$P15*SUMIFS($AF15:$DK15,$AF$4:$DK$4,Jahresscheiben!D$2)/2,0)</f>
        <v>0</v>
      </c>
      <c r="FC15" s="85">
        <f>IF($A15="x",$P15*SUMIFS($AF15:$DK15,$AF$4:$DK$4,Jahresscheiben!E$2)/2,0)</f>
        <v>0</v>
      </c>
      <c r="FD15" s="85">
        <f>IF($A15="x",$P15*SUMIFS($AF15:$DK15,$AF$4:$DK$4,Jahresscheiben!F$2)/2,0)</f>
        <v>0</v>
      </c>
      <c r="FE15" s="85">
        <f>IF($A15="x",$P15*SUMIFS($AF15:$DK15,$AF$4:$DK$4,Jahresscheiben!G$2)/2,0)</f>
        <v>0</v>
      </c>
      <c r="FF15" s="85">
        <f>IF($A15="x",$P15*SUMIFS($AF15:$DK15,$AF$4:$DK$4,Jahresscheiben!H$2)/2,0)</f>
        <v>0</v>
      </c>
      <c r="FG15" s="85">
        <f>IF($A15="x",$P15*SUMIFS($AF15:$DK15,$AF$4:$DK$4,Jahresscheiben!I$2)/2,0)</f>
        <v>0</v>
      </c>
      <c r="FH15" s="85"/>
      <c r="FI15" s="61">
        <f t="shared" si="58"/>
        <v>10</v>
      </c>
      <c r="FJ15" s="85" cm="1">
        <f t="array" ref="FJ1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1.0681858643403952</v>
      </c>
      <c r="FK15" s="85" cm="1">
        <f t="array" ref="FK1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0</v>
      </c>
      <c r="FL15" s="85" cm="1">
        <f t="array" ref="FL1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</v>
      </c>
      <c r="FM15" s="85" cm="1">
        <f t="array" ref="FM1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15" s="85" cm="1">
        <f t="array" ref="FN1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15" s="85" cm="1">
        <f t="array" ref="FO1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15" s="85" cm="1">
        <f t="array" ref="FP1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16" spans="1:172" ht="17" customHeight="1" thickBot="1" x14ac:dyDescent="0.55000000000000004">
      <c r="A16" s="30"/>
      <c r="B16" s="31">
        <f t="shared" si="50"/>
        <v>136</v>
      </c>
      <c r="C16" s="22">
        <f t="shared" si="51"/>
        <v>11</v>
      </c>
      <c r="D16" s="71" t="s">
        <v>61</v>
      </c>
      <c r="E16" s="26"/>
      <c r="F16" s="26">
        <v>8</v>
      </c>
      <c r="G16" s="26">
        <v>17</v>
      </c>
      <c r="H16" s="26"/>
      <c r="I16" s="6">
        <f t="shared" si="40"/>
        <v>46265</v>
      </c>
      <c r="J16" s="6">
        <f t="shared" si="41"/>
        <v>46538</v>
      </c>
      <c r="K16" s="26"/>
      <c r="L16" s="53">
        <v>8</v>
      </c>
      <c r="M16" s="60" cm="1">
        <f t="array" ref="M16" xml:space="preserve">
_xlfn.LET(
_xlpm.Z, _xlfn._xlws.FILTER($DY$6:$EE$65,$DX$6:$DX$65=C16),
_xlpm.Q,_xlfn._xlws.FILTER($DP$6:$DV$65,$DO$6:$DO$65=C16),
IF($A16="x",SUMPRODUCT(_xlpm.Z,$DY$73:$EE$73,EH16:EN16),SUMPRODUCT(_xlpm.Q,$DP$73:$DV$73)))</f>
        <v>0</v>
      </c>
      <c r="N16" s="54" t="str" cm="1">
        <f t="array" ref="N16" xml:space="preserve">
_xlfn.LET(
_xlpm.Z, SUM(IF($A16="x",_xlfn._xlws.FILTER($M$6:$M$65,$A$6:$A$65="x"),_xlfn._xlws.FILTER($M$6:$M$65,$A$6:$A$65&lt;&gt;"x"))),
IF(_xlpm.Z&lt;&gt;0,M16/_xlpm.Z,""))</f>
        <v/>
      </c>
      <c r="O16" s="26"/>
      <c r="P16" s="53">
        <f t="shared" si="52"/>
        <v>8</v>
      </c>
      <c r="Q16" s="60" cm="1">
        <f t="array" ref="Q16" xml:space="preserve">
_xlfn.LET(
_xlpm.Z, _xlfn._xlws.FILTER($FA$6:$FG$65,$EZ$6:$EZ$65=C16),
_xlpm.Q,_xlfn._xlws.FILTER($ER$6:$EX$65,$EQ$6:$EQ$65=C16),
IF($A16="x",SUMPRODUCT(_xlpm.Z,$FA$73:$FG$73,FJ16:FP16),SUMPRODUCT(_xlpm.Q,$ER$73:$EX$73)))</f>
        <v>0</v>
      </c>
      <c r="R16" s="54" t="str" cm="1">
        <f t="array" ref="R16" xml:space="preserve">
_xlfn.LET(
_xlpm.Z, SUM(IF($A16="x",_xlfn._xlws.FILTER($Q$6:$Q$65,$A$6:$A$65="x"),_xlfn._xlws.FILTER($Q$6:$Q$65,$A$6:$A$65&lt;&gt;"x"))),
IF(_xlpm.Z&lt;&gt;0,Q16/_xlpm.Z,""))</f>
        <v/>
      </c>
      <c r="S16" s="26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8"/>
      <c r="AE16" s="28"/>
      <c r="AF16" s="23" t="str">
        <f t="shared" ref="AF16:AO25" si="59">_xlfn.LET(
_xlpm.project_monat,AF$3,
_xlpm.start_monat,$F16,
_xlpm.ende_monat,$G16,
IF(AND(_xlpm.project_monat&gt;=_xlpm.start_monat,_xlpm.project_monat&lt;=_xlpm.ende_monat),IF($A16="x",2,1),""))</f>
        <v/>
      </c>
      <c r="AG16" s="23" t="str">
        <f t="shared" si="59"/>
        <v/>
      </c>
      <c r="AH16" s="23" t="str">
        <f t="shared" si="59"/>
        <v/>
      </c>
      <c r="AI16" s="23" t="str">
        <f t="shared" si="59"/>
        <v/>
      </c>
      <c r="AJ16" s="23" t="str">
        <f t="shared" si="59"/>
        <v/>
      </c>
      <c r="AK16" s="23" t="str">
        <f t="shared" si="59"/>
        <v/>
      </c>
      <c r="AL16" s="23" t="str">
        <f t="shared" si="59"/>
        <v/>
      </c>
      <c r="AM16" s="23">
        <f t="shared" si="59"/>
        <v>1</v>
      </c>
      <c r="AN16" s="23">
        <f t="shared" si="59"/>
        <v>1</v>
      </c>
      <c r="AO16" s="23">
        <f t="shared" si="59"/>
        <v>1</v>
      </c>
      <c r="AP16" s="23">
        <f t="shared" ref="AP16:AY25" si="60">_xlfn.LET(
_xlpm.project_monat,AP$3,
_xlpm.start_monat,$F16,
_xlpm.ende_monat,$G16,
IF(AND(_xlpm.project_monat&gt;=_xlpm.start_monat,_xlpm.project_monat&lt;=_xlpm.ende_monat),IF($A16="x",2,1),""))</f>
        <v>1</v>
      </c>
      <c r="AQ16" s="23">
        <f t="shared" si="60"/>
        <v>1</v>
      </c>
      <c r="AR16" s="23">
        <f t="shared" si="60"/>
        <v>1</v>
      </c>
      <c r="AS16" s="23">
        <f t="shared" si="60"/>
        <v>1</v>
      </c>
      <c r="AT16" s="23">
        <f t="shared" si="60"/>
        <v>1</v>
      </c>
      <c r="AU16" s="23">
        <f t="shared" si="60"/>
        <v>1</v>
      </c>
      <c r="AV16" s="23">
        <f t="shared" si="60"/>
        <v>1</v>
      </c>
      <c r="AW16" s="23" t="str">
        <f t="shared" si="60"/>
        <v/>
      </c>
      <c r="AX16" s="23" t="str">
        <f t="shared" si="60"/>
        <v/>
      </c>
      <c r="AY16" s="23" t="str">
        <f t="shared" si="60"/>
        <v/>
      </c>
      <c r="AZ16" s="23" t="str">
        <f t="shared" ref="AZ16:BI25" si="61">_xlfn.LET(
_xlpm.project_monat,AZ$3,
_xlpm.start_monat,$F16,
_xlpm.ende_monat,$G16,
IF(AND(_xlpm.project_monat&gt;=_xlpm.start_monat,_xlpm.project_monat&lt;=_xlpm.ende_monat),IF($A16="x",2,1),""))</f>
        <v/>
      </c>
      <c r="BA16" s="23" t="str">
        <f t="shared" si="61"/>
        <v/>
      </c>
      <c r="BB16" s="23" t="str">
        <f t="shared" si="61"/>
        <v/>
      </c>
      <c r="BC16" s="23" t="str">
        <f t="shared" si="61"/>
        <v/>
      </c>
      <c r="BD16" s="23" t="str">
        <f t="shared" si="61"/>
        <v/>
      </c>
      <c r="BE16" s="23" t="str">
        <f t="shared" si="61"/>
        <v/>
      </c>
      <c r="BF16" s="23" t="str">
        <f t="shared" si="61"/>
        <v/>
      </c>
      <c r="BG16" s="23" t="str">
        <f t="shared" si="61"/>
        <v/>
      </c>
      <c r="BH16" s="23" t="str">
        <f t="shared" si="61"/>
        <v/>
      </c>
      <c r="BI16" s="23" t="str">
        <f t="shared" si="61"/>
        <v/>
      </c>
      <c r="BJ16" s="23" t="str">
        <f t="shared" ref="BJ16:BS25" si="62">_xlfn.LET(
_xlpm.project_monat,BJ$3,
_xlpm.start_monat,$F16,
_xlpm.ende_monat,$G16,
IF(AND(_xlpm.project_monat&gt;=_xlpm.start_monat,_xlpm.project_monat&lt;=_xlpm.ende_monat),IF($A16="x",2,1),""))</f>
        <v/>
      </c>
      <c r="BK16" s="23" t="str">
        <f t="shared" si="62"/>
        <v/>
      </c>
      <c r="BL16" s="23" t="str">
        <f t="shared" si="62"/>
        <v/>
      </c>
      <c r="BM16" s="23" t="str">
        <f t="shared" si="62"/>
        <v/>
      </c>
      <c r="BN16" s="23" t="str">
        <f t="shared" si="62"/>
        <v/>
      </c>
      <c r="BO16" s="23" t="str">
        <f t="shared" si="62"/>
        <v/>
      </c>
      <c r="BP16" s="23" t="str">
        <f t="shared" si="62"/>
        <v/>
      </c>
      <c r="BQ16" s="23" t="str">
        <f t="shared" si="62"/>
        <v/>
      </c>
      <c r="BR16" s="23" t="str">
        <f t="shared" si="62"/>
        <v/>
      </c>
      <c r="BS16" s="23" t="str">
        <f t="shared" si="62"/>
        <v/>
      </c>
      <c r="BT16" s="23" t="str">
        <f t="shared" ref="BT16:CC25" si="63">_xlfn.LET(
_xlpm.project_monat,BT$3,
_xlpm.start_monat,$F16,
_xlpm.ende_monat,$G16,
IF(AND(_xlpm.project_monat&gt;=_xlpm.start_monat,_xlpm.project_monat&lt;=_xlpm.ende_monat),IF($A16="x",2,1),""))</f>
        <v/>
      </c>
      <c r="BU16" s="23" t="str">
        <f t="shared" si="63"/>
        <v/>
      </c>
      <c r="BV16" s="23" t="str">
        <f t="shared" si="63"/>
        <v/>
      </c>
      <c r="BW16" s="23" t="str">
        <f t="shared" si="63"/>
        <v/>
      </c>
      <c r="BX16" s="23" t="str">
        <f t="shared" si="63"/>
        <v/>
      </c>
      <c r="BY16" s="23" t="str">
        <f t="shared" si="63"/>
        <v/>
      </c>
      <c r="BZ16" s="23" t="str">
        <f t="shared" si="63"/>
        <v/>
      </c>
      <c r="CA16" s="23" t="str">
        <f t="shared" si="63"/>
        <v/>
      </c>
      <c r="CB16" s="23" t="str">
        <f t="shared" si="63"/>
        <v/>
      </c>
      <c r="CC16" s="23" t="str">
        <f t="shared" si="63"/>
        <v/>
      </c>
      <c r="CD16" s="23" t="str">
        <f t="shared" ref="CD16:CM25" si="64">_xlfn.LET(
_xlpm.project_monat,CD$3,
_xlpm.start_monat,$F16,
_xlpm.ende_monat,$G16,
IF(AND(_xlpm.project_monat&gt;=_xlpm.start_monat,_xlpm.project_monat&lt;=_xlpm.ende_monat),IF($A16="x",2,1),""))</f>
        <v/>
      </c>
      <c r="CE16" s="23" t="str">
        <f t="shared" si="64"/>
        <v/>
      </c>
      <c r="CF16" s="23" t="str">
        <f t="shared" si="64"/>
        <v/>
      </c>
      <c r="CG16" s="23" t="str">
        <f t="shared" si="64"/>
        <v/>
      </c>
      <c r="CH16" s="23" t="str">
        <f t="shared" si="64"/>
        <v/>
      </c>
      <c r="CI16" s="23" t="str">
        <f t="shared" si="64"/>
        <v/>
      </c>
      <c r="CJ16" s="23" t="str">
        <f t="shared" si="64"/>
        <v/>
      </c>
      <c r="CK16" s="23" t="str">
        <f t="shared" si="64"/>
        <v/>
      </c>
      <c r="CL16" s="23" t="str">
        <f t="shared" si="64"/>
        <v/>
      </c>
      <c r="CM16" s="23" t="str">
        <f t="shared" si="64"/>
        <v/>
      </c>
      <c r="CN16" s="23" t="str">
        <f t="shared" ref="CN16:CW25" si="65">_xlfn.LET(
_xlpm.project_monat,CN$3,
_xlpm.start_monat,$F16,
_xlpm.ende_monat,$G16,
IF(AND(_xlpm.project_monat&gt;=_xlpm.start_monat,_xlpm.project_monat&lt;=_xlpm.ende_monat),IF($A16="x",2,1),""))</f>
        <v/>
      </c>
      <c r="CO16" s="23" t="str">
        <f t="shared" si="65"/>
        <v/>
      </c>
      <c r="CP16" s="23" t="str">
        <f t="shared" si="65"/>
        <v/>
      </c>
      <c r="CQ16" s="23" t="str">
        <f t="shared" si="65"/>
        <v/>
      </c>
      <c r="CR16" s="23" t="str">
        <f t="shared" si="65"/>
        <v/>
      </c>
      <c r="CS16" s="23" t="str">
        <f t="shared" si="65"/>
        <v/>
      </c>
      <c r="CT16" s="23" t="str">
        <f t="shared" si="65"/>
        <v/>
      </c>
      <c r="CU16" s="23" t="str">
        <f t="shared" si="65"/>
        <v/>
      </c>
      <c r="CV16" s="23" t="str">
        <f t="shared" si="65"/>
        <v/>
      </c>
      <c r="CW16" s="23" t="str">
        <f t="shared" si="65"/>
        <v/>
      </c>
      <c r="CX16" s="23" t="str">
        <f t="shared" ref="CX16:DK25" si="66">_xlfn.LET(
_xlpm.project_monat,CX$3,
_xlpm.start_monat,$F16,
_xlpm.ende_monat,$G16,
IF(AND(_xlpm.project_monat&gt;=_xlpm.start_monat,_xlpm.project_monat&lt;=_xlpm.ende_monat),IF($A16="x",2,1),""))</f>
        <v/>
      </c>
      <c r="CY16" s="23" t="str">
        <f t="shared" si="66"/>
        <v/>
      </c>
      <c r="CZ16" s="23" t="str">
        <f t="shared" si="66"/>
        <v/>
      </c>
      <c r="DA16" s="23" t="str">
        <f t="shared" si="66"/>
        <v/>
      </c>
      <c r="DB16" s="23" t="str">
        <f t="shared" si="66"/>
        <v/>
      </c>
      <c r="DC16" s="23" t="str">
        <f t="shared" si="66"/>
        <v/>
      </c>
      <c r="DD16" s="23" t="str">
        <f t="shared" si="66"/>
        <v/>
      </c>
      <c r="DE16" s="23" t="str">
        <f t="shared" si="66"/>
        <v/>
      </c>
      <c r="DF16" s="23" t="str">
        <f t="shared" si="66"/>
        <v/>
      </c>
      <c r="DG16" s="23" t="str">
        <f t="shared" si="66"/>
        <v/>
      </c>
      <c r="DH16" s="23" t="str">
        <f t="shared" si="66"/>
        <v/>
      </c>
      <c r="DI16" s="23" t="str">
        <f t="shared" si="66"/>
        <v/>
      </c>
      <c r="DJ16" s="23" t="str">
        <f t="shared" si="66"/>
        <v/>
      </c>
      <c r="DK16" s="23" t="str">
        <f t="shared" si="66"/>
        <v/>
      </c>
      <c r="DO16" s="61">
        <f t="shared" si="53"/>
        <v>11</v>
      </c>
      <c r="DP16" s="61">
        <f>IF($A16&lt;&gt;"x",$L16*SUMIFS($AF16:$DK16,$AF$4:$DK$4,Jahresscheiben!C$2),0)</f>
        <v>40</v>
      </c>
      <c r="DQ16" s="61">
        <f>IF($A16&lt;&gt;"x",$L16*SUMIFS($AF16:$DK16,$AF$4:$DK$4,Jahresscheiben!D$2),0)</f>
        <v>40</v>
      </c>
      <c r="DR16" s="61">
        <f>IF($A16&lt;&gt;"x",$L16*SUMIFS($AF16:$DK16,$AF$4:$DK$4,Jahresscheiben!E$2),0)</f>
        <v>0</v>
      </c>
      <c r="DS16" s="61">
        <f>IF($A16&lt;&gt;"x",$L16*SUMIFS($AF16:$DK16,$AF$4:$DK$4,Jahresscheiben!F$2),0)</f>
        <v>0</v>
      </c>
      <c r="DT16" s="61">
        <f>IF($A16&lt;&gt;"x",$L16*SUMIFS($AF16:$DK16,$AF$4:$DK$4,Jahresscheiben!G$2),0)</f>
        <v>0</v>
      </c>
      <c r="DU16" s="61">
        <f>IF($A16&lt;&gt;"x",$L16*SUMIFS($AF16:$DK16,$AF$4:$DK$4,Jahresscheiben!H$2),0)</f>
        <v>0</v>
      </c>
      <c r="DV16" s="61">
        <f>IF($A16&lt;&gt;"x",$L16*SUMIFS($AF16:$DK16,$AF$4:$DK$4,Jahresscheiben!I$2),0)</f>
        <v>0</v>
      </c>
      <c r="DW16" s="85"/>
      <c r="DX16" s="61">
        <f t="shared" si="54"/>
        <v>11</v>
      </c>
      <c r="DY16" s="85">
        <f>IF($A16="x",$L16*SUMIFS($AF16:$DK16,$AF$4:$DK$4,Jahresscheiben!C$2)/2,0)</f>
        <v>0</v>
      </c>
      <c r="DZ16" s="85">
        <f>IF($A16="x",$L16*SUMIFS($AF16:$DK16,$AF$4:$DK$4,Jahresscheiben!D$2)/2,0)</f>
        <v>0</v>
      </c>
      <c r="EA16" s="85">
        <f>IF($A16="x",$L16*SUMIFS($AF16:$DK16,$AF$4:$DK$4,Jahresscheiben!E$2)/2,0)</f>
        <v>0</v>
      </c>
      <c r="EB16" s="85">
        <f>IF($A16="x",$L16*SUMIFS($AF16:$DK16,$AF$4:$DK$4,Jahresscheiben!F$2)/2,0)</f>
        <v>0</v>
      </c>
      <c r="EC16" s="85">
        <f>IF($A16="x",$L16*SUMIFS($AF16:$DK16,$AF$4:$DK$4,Jahresscheiben!G$2)/2,0)</f>
        <v>0</v>
      </c>
      <c r="ED16" s="85">
        <f>IF($A16="x",$L16*SUMIFS($AF16:$DK16,$AF$4:$DK$4,Jahresscheiben!H$2)/2,0)</f>
        <v>0</v>
      </c>
      <c r="EE16" s="85">
        <f>IF($A16="x",$L16*SUMIFS($AF16:$DK16,$AF$4:$DK$4,Jahresscheiben!I$2)/2,0)</f>
        <v>0</v>
      </c>
      <c r="EF16" s="85"/>
      <c r="EG16" s="61">
        <f t="shared" si="55"/>
        <v>11</v>
      </c>
      <c r="EH16" s="85" cm="1">
        <f t="array" ref="EH1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16" s="85" cm="1">
        <f t="array" ref="EI1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0</v>
      </c>
      <c r="EJ16" s="85" cm="1">
        <f t="array" ref="EJ1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</v>
      </c>
      <c r="EK16" s="85" cm="1">
        <f t="array" ref="EK1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16" s="85" cm="1">
        <f t="array" ref="EL1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16" s="85" cm="1">
        <f t="array" ref="EM1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16" s="85" cm="1">
        <f t="array" ref="EN1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16" s="85"/>
      <c r="EQ16" s="61">
        <f t="shared" si="56"/>
        <v>11</v>
      </c>
      <c r="ER16" s="62">
        <f>IF($A16&lt;&gt;"x",$P16*SUMIFS($AF16:$DK16,$AF$4:$DK$4,Jahresscheiben!C$2),0)</f>
        <v>40</v>
      </c>
      <c r="ES16" s="62">
        <f>IF($A16&lt;&gt;"x",$P16*SUMIFS($AF16:$DK16,$AF$4:$DK$4,Jahresscheiben!D$2),0)</f>
        <v>40</v>
      </c>
      <c r="ET16" s="62">
        <f>IF($A16&lt;&gt;"x",$P16*SUMIFS($AF16:$DK16,$AF$4:$DK$4,Jahresscheiben!E$2),0)</f>
        <v>0</v>
      </c>
      <c r="EU16" s="62">
        <f>IF($A16&lt;&gt;"x",$P16*SUMIFS($AF16:$DK16,$AF$4:$DK$4,Jahresscheiben!F$2),0)</f>
        <v>0</v>
      </c>
      <c r="EV16" s="62">
        <f>IF($A16&lt;&gt;"x",$P16*SUMIFS($AF16:$DK16,$AF$4:$DK$4,Jahresscheiben!G$2),0)</f>
        <v>0</v>
      </c>
      <c r="EW16" s="62">
        <f>IF($A16&lt;&gt;"x",$P16*SUMIFS($AF16:$DK16,$AF$4:$DK$4,Jahresscheiben!H$2),0)</f>
        <v>0</v>
      </c>
      <c r="EX16" s="62">
        <f>IF($A16&lt;&gt;"x",$P16*SUMIFS($AF16:$DK16,$AF$4:$DK$4,Jahresscheiben!I$2),0)</f>
        <v>0</v>
      </c>
      <c r="EY16" s="85"/>
      <c r="EZ16" s="61">
        <f t="shared" si="57"/>
        <v>11</v>
      </c>
      <c r="FA16" s="85">
        <f>IF($A16="x",$P16*SUMIFS($AF16:$DK16,$AF$4:$DK$4,Jahresscheiben!C$2)/2,0)</f>
        <v>0</v>
      </c>
      <c r="FB16" s="85">
        <f>IF($A16="x",$P16*SUMIFS($AF16:$DK16,$AF$4:$DK$4,Jahresscheiben!D$2)/2,0)</f>
        <v>0</v>
      </c>
      <c r="FC16" s="85">
        <f>IF($A16="x",$P16*SUMIFS($AF16:$DK16,$AF$4:$DK$4,Jahresscheiben!E$2)/2,0)</f>
        <v>0</v>
      </c>
      <c r="FD16" s="85">
        <f>IF($A16="x",$P16*SUMIFS($AF16:$DK16,$AF$4:$DK$4,Jahresscheiben!F$2)/2,0)</f>
        <v>0</v>
      </c>
      <c r="FE16" s="85">
        <f>IF($A16="x",$P16*SUMIFS($AF16:$DK16,$AF$4:$DK$4,Jahresscheiben!G$2)/2,0)</f>
        <v>0</v>
      </c>
      <c r="FF16" s="85">
        <f>IF($A16="x",$P16*SUMIFS($AF16:$DK16,$AF$4:$DK$4,Jahresscheiben!H$2)/2,0)</f>
        <v>0</v>
      </c>
      <c r="FG16" s="85">
        <f>IF($A16="x",$P16*SUMIFS($AF16:$DK16,$AF$4:$DK$4,Jahresscheiben!I$2)/2,0)</f>
        <v>0</v>
      </c>
      <c r="FH16" s="85"/>
      <c r="FI16" s="61">
        <f t="shared" si="58"/>
        <v>11</v>
      </c>
      <c r="FJ16" s="85" cm="1">
        <f t="array" ref="FJ1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16" s="85" cm="1">
        <f t="array" ref="FK1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0</v>
      </c>
      <c r="FL16" s="85" cm="1">
        <f t="array" ref="FL1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</v>
      </c>
      <c r="FM16" s="85" cm="1">
        <f t="array" ref="FM1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16" s="85" cm="1">
        <f t="array" ref="FN1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16" s="85" cm="1">
        <f t="array" ref="FO1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16" s="85" cm="1">
        <f t="array" ref="FP1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17" spans="1:172" ht="17" customHeight="1" thickBot="1" x14ac:dyDescent="0.55000000000000004">
      <c r="A17" s="30" t="s">
        <v>24</v>
      </c>
      <c r="B17" s="31">
        <f t="shared" si="50"/>
        <v>150</v>
      </c>
      <c r="C17" s="22">
        <f t="shared" si="51"/>
        <v>12</v>
      </c>
      <c r="D17" s="71" t="s">
        <v>62</v>
      </c>
      <c r="E17" s="26"/>
      <c r="F17" s="26">
        <v>8</v>
      </c>
      <c r="G17" s="26">
        <v>12</v>
      </c>
      <c r="H17" s="26"/>
      <c r="I17" s="6">
        <f t="shared" si="40"/>
        <v>46265</v>
      </c>
      <c r="J17" s="6">
        <f t="shared" si="41"/>
        <v>46387</v>
      </c>
      <c r="K17" s="26"/>
      <c r="L17" s="53">
        <v>6</v>
      </c>
      <c r="M17" s="60" cm="1">
        <f t="array" ref="M17" xml:space="preserve">
_xlfn.LET(
_xlpm.Z, _xlfn._xlws.FILTER($DY$6:$EE$65,$DX$6:$DX$65=C17),
_xlpm.Q,_xlfn._xlws.FILTER($DP$6:$DV$65,$DO$6:$DO$65=C17),
IF($A17="x",SUMPRODUCT(_xlpm.Z,$DY$73:$EE$73,EH17:EN17),SUMPRODUCT(_xlpm.Q,$DP$73:$DV$73)))</f>
        <v>0</v>
      </c>
      <c r="N17" s="54" t="str" cm="1">
        <f t="array" ref="N17" xml:space="preserve">
_xlfn.LET(
_xlpm.Z, SUM(IF($A17="x",_xlfn._xlws.FILTER($M$6:$M$65,$A$6:$A$65="x"),_xlfn._xlws.FILTER($M$6:$M$65,$A$6:$A$65&lt;&gt;"x"))),
IF(_xlpm.Z&lt;&gt;0,M17/_xlpm.Z,""))</f>
        <v/>
      </c>
      <c r="O17" s="26"/>
      <c r="P17" s="53">
        <f t="shared" si="52"/>
        <v>6</v>
      </c>
      <c r="Q17" s="60" cm="1">
        <f t="array" ref="Q17" xml:space="preserve">
_xlfn.LET(
_xlpm.Z, _xlfn._xlws.FILTER($FA$6:$FG$65,$EZ$6:$EZ$65=C17),
_xlpm.Q,_xlfn._xlws.FILTER($ER$6:$EX$65,$EQ$6:$EQ$65=C17),
IF($A17="x",SUMPRODUCT(_xlpm.Z,$FA$73:$FG$73,FJ17:FP17),SUMPRODUCT(_xlpm.Q,$ER$73:$EX$73)))</f>
        <v>0</v>
      </c>
      <c r="R17" s="54" t="str" cm="1">
        <f t="array" ref="R17" xml:space="preserve">
_xlfn.LET(
_xlpm.Z, SUM(IF($A17="x",_xlfn._xlws.FILTER($Q$6:$Q$65,$A$6:$A$65="x"),_xlfn._xlws.FILTER($Q$6:$Q$65,$A$6:$A$65&lt;&gt;"x"))),
IF(_xlpm.Z&lt;&gt;0,Q17/_xlpm.Z,""))</f>
        <v/>
      </c>
      <c r="S17" s="26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8"/>
      <c r="AE17" s="28"/>
      <c r="AF17" s="23" t="str">
        <f t="shared" si="59"/>
        <v/>
      </c>
      <c r="AG17" s="23" t="str">
        <f t="shared" si="59"/>
        <v/>
      </c>
      <c r="AH17" s="23" t="str">
        <f t="shared" si="59"/>
        <v/>
      </c>
      <c r="AI17" s="23" t="str">
        <f t="shared" si="59"/>
        <v/>
      </c>
      <c r="AJ17" s="23" t="str">
        <f t="shared" si="59"/>
        <v/>
      </c>
      <c r="AK17" s="23" t="str">
        <f t="shared" si="59"/>
        <v/>
      </c>
      <c r="AL17" s="23" t="str">
        <f t="shared" si="59"/>
        <v/>
      </c>
      <c r="AM17" s="23">
        <f t="shared" si="59"/>
        <v>2</v>
      </c>
      <c r="AN17" s="23">
        <f t="shared" si="59"/>
        <v>2</v>
      </c>
      <c r="AO17" s="23">
        <f t="shared" si="59"/>
        <v>2</v>
      </c>
      <c r="AP17" s="23">
        <f t="shared" si="60"/>
        <v>2</v>
      </c>
      <c r="AQ17" s="23">
        <f t="shared" si="60"/>
        <v>2</v>
      </c>
      <c r="AR17" s="23" t="str">
        <f t="shared" si="60"/>
        <v/>
      </c>
      <c r="AS17" s="23" t="str">
        <f t="shared" si="60"/>
        <v/>
      </c>
      <c r="AT17" s="23" t="str">
        <f t="shared" si="60"/>
        <v/>
      </c>
      <c r="AU17" s="23" t="str">
        <f t="shared" si="60"/>
        <v/>
      </c>
      <c r="AV17" s="23" t="str">
        <f t="shared" si="60"/>
        <v/>
      </c>
      <c r="AW17" s="23" t="str">
        <f t="shared" si="60"/>
        <v/>
      </c>
      <c r="AX17" s="23" t="str">
        <f t="shared" si="60"/>
        <v/>
      </c>
      <c r="AY17" s="23" t="str">
        <f t="shared" si="60"/>
        <v/>
      </c>
      <c r="AZ17" s="23" t="str">
        <f t="shared" si="61"/>
        <v/>
      </c>
      <c r="BA17" s="23" t="str">
        <f t="shared" si="61"/>
        <v/>
      </c>
      <c r="BB17" s="23" t="str">
        <f t="shared" si="61"/>
        <v/>
      </c>
      <c r="BC17" s="23" t="str">
        <f t="shared" si="61"/>
        <v/>
      </c>
      <c r="BD17" s="23" t="str">
        <f t="shared" si="61"/>
        <v/>
      </c>
      <c r="BE17" s="23" t="str">
        <f t="shared" si="61"/>
        <v/>
      </c>
      <c r="BF17" s="23" t="str">
        <f t="shared" si="61"/>
        <v/>
      </c>
      <c r="BG17" s="23" t="str">
        <f t="shared" si="61"/>
        <v/>
      </c>
      <c r="BH17" s="23" t="str">
        <f t="shared" si="61"/>
        <v/>
      </c>
      <c r="BI17" s="23" t="str">
        <f t="shared" si="61"/>
        <v/>
      </c>
      <c r="BJ17" s="23" t="str">
        <f t="shared" si="62"/>
        <v/>
      </c>
      <c r="BK17" s="23" t="str">
        <f t="shared" si="62"/>
        <v/>
      </c>
      <c r="BL17" s="23" t="str">
        <f t="shared" si="62"/>
        <v/>
      </c>
      <c r="BM17" s="23" t="str">
        <f t="shared" si="62"/>
        <v/>
      </c>
      <c r="BN17" s="23" t="str">
        <f t="shared" si="62"/>
        <v/>
      </c>
      <c r="BO17" s="23" t="str">
        <f t="shared" si="62"/>
        <v/>
      </c>
      <c r="BP17" s="23" t="str">
        <f t="shared" si="62"/>
        <v/>
      </c>
      <c r="BQ17" s="23" t="str">
        <f t="shared" si="62"/>
        <v/>
      </c>
      <c r="BR17" s="23" t="str">
        <f t="shared" si="62"/>
        <v/>
      </c>
      <c r="BS17" s="23" t="str">
        <f t="shared" si="62"/>
        <v/>
      </c>
      <c r="BT17" s="23" t="str">
        <f t="shared" si="63"/>
        <v/>
      </c>
      <c r="BU17" s="23" t="str">
        <f t="shared" si="63"/>
        <v/>
      </c>
      <c r="BV17" s="23" t="str">
        <f t="shared" si="63"/>
        <v/>
      </c>
      <c r="BW17" s="23" t="str">
        <f t="shared" si="63"/>
        <v/>
      </c>
      <c r="BX17" s="23" t="str">
        <f t="shared" si="63"/>
        <v/>
      </c>
      <c r="BY17" s="23" t="str">
        <f t="shared" si="63"/>
        <v/>
      </c>
      <c r="BZ17" s="23" t="str">
        <f t="shared" si="63"/>
        <v/>
      </c>
      <c r="CA17" s="23" t="str">
        <f t="shared" si="63"/>
        <v/>
      </c>
      <c r="CB17" s="23" t="str">
        <f t="shared" si="63"/>
        <v/>
      </c>
      <c r="CC17" s="23" t="str">
        <f t="shared" si="63"/>
        <v/>
      </c>
      <c r="CD17" s="23" t="str">
        <f t="shared" si="64"/>
        <v/>
      </c>
      <c r="CE17" s="23" t="str">
        <f t="shared" si="64"/>
        <v/>
      </c>
      <c r="CF17" s="23" t="str">
        <f t="shared" si="64"/>
        <v/>
      </c>
      <c r="CG17" s="23" t="str">
        <f t="shared" si="64"/>
        <v/>
      </c>
      <c r="CH17" s="23" t="str">
        <f t="shared" si="64"/>
        <v/>
      </c>
      <c r="CI17" s="23" t="str">
        <f t="shared" si="64"/>
        <v/>
      </c>
      <c r="CJ17" s="23" t="str">
        <f t="shared" si="64"/>
        <v/>
      </c>
      <c r="CK17" s="23" t="str">
        <f t="shared" si="64"/>
        <v/>
      </c>
      <c r="CL17" s="23" t="str">
        <f t="shared" si="64"/>
        <v/>
      </c>
      <c r="CM17" s="23" t="str">
        <f t="shared" si="64"/>
        <v/>
      </c>
      <c r="CN17" s="23" t="str">
        <f t="shared" si="65"/>
        <v/>
      </c>
      <c r="CO17" s="23" t="str">
        <f t="shared" si="65"/>
        <v/>
      </c>
      <c r="CP17" s="23" t="str">
        <f t="shared" si="65"/>
        <v/>
      </c>
      <c r="CQ17" s="23" t="str">
        <f t="shared" si="65"/>
        <v/>
      </c>
      <c r="CR17" s="23" t="str">
        <f t="shared" si="65"/>
        <v/>
      </c>
      <c r="CS17" s="23" t="str">
        <f t="shared" si="65"/>
        <v/>
      </c>
      <c r="CT17" s="23" t="str">
        <f t="shared" si="65"/>
        <v/>
      </c>
      <c r="CU17" s="23" t="str">
        <f t="shared" si="65"/>
        <v/>
      </c>
      <c r="CV17" s="23" t="str">
        <f t="shared" si="65"/>
        <v/>
      </c>
      <c r="CW17" s="23" t="str">
        <f t="shared" si="65"/>
        <v/>
      </c>
      <c r="CX17" s="23" t="str">
        <f t="shared" si="66"/>
        <v/>
      </c>
      <c r="CY17" s="23" t="str">
        <f t="shared" si="66"/>
        <v/>
      </c>
      <c r="CZ17" s="23" t="str">
        <f t="shared" si="66"/>
        <v/>
      </c>
      <c r="DA17" s="23" t="str">
        <f t="shared" si="66"/>
        <v/>
      </c>
      <c r="DB17" s="23" t="str">
        <f t="shared" si="66"/>
        <v/>
      </c>
      <c r="DC17" s="23" t="str">
        <f t="shared" si="66"/>
        <v/>
      </c>
      <c r="DD17" s="23" t="str">
        <f t="shared" si="66"/>
        <v/>
      </c>
      <c r="DE17" s="23" t="str">
        <f t="shared" si="66"/>
        <v/>
      </c>
      <c r="DF17" s="23" t="str">
        <f t="shared" si="66"/>
        <v/>
      </c>
      <c r="DG17" s="23" t="str">
        <f t="shared" si="66"/>
        <v/>
      </c>
      <c r="DH17" s="23" t="str">
        <f t="shared" si="66"/>
        <v/>
      </c>
      <c r="DI17" s="23" t="str">
        <f t="shared" si="66"/>
        <v/>
      </c>
      <c r="DJ17" s="23" t="str">
        <f t="shared" si="66"/>
        <v/>
      </c>
      <c r="DK17" s="23" t="str">
        <f t="shared" si="66"/>
        <v/>
      </c>
      <c r="DO17" s="61">
        <f t="shared" si="53"/>
        <v>12</v>
      </c>
      <c r="DP17" s="61">
        <f>IF($A17&lt;&gt;"x",$L17*SUMIFS($AF17:$DK17,$AF$4:$DK$4,Jahresscheiben!C$2),0)</f>
        <v>0</v>
      </c>
      <c r="DQ17" s="61">
        <f>IF($A17&lt;&gt;"x",$L17*SUMIFS($AF17:$DK17,$AF$4:$DK$4,Jahresscheiben!D$2),0)</f>
        <v>0</v>
      </c>
      <c r="DR17" s="61">
        <f>IF($A17&lt;&gt;"x",$L17*SUMIFS($AF17:$DK17,$AF$4:$DK$4,Jahresscheiben!E$2),0)</f>
        <v>0</v>
      </c>
      <c r="DS17" s="61">
        <f>IF($A17&lt;&gt;"x",$L17*SUMIFS($AF17:$DK17,$AF$4:$DK$4,Jahresscheiben!F$2),0)</f>
        <v>0</v>
      </c>
      <c r="DT17" s="61">
        <f>IF($A17&lt;&gt;"x",$L17*SUMIFS($AF17:$DK17,$AF$4:$DK$4,Jahresscheiben!G$2),0)</f>
        <v>0</v>
      </c>
      <c r="DU17" s="61">
        <f>IF($A17&lt;&gt;"x",$L17*SUMIFS($AF17:$DK17,$AF$4:$DK$4,Jahresscheiben!H$2),0)</f>
        <v>0</v>
      </c>
      <c r="DV17" s="61">
        <f>IF($A17&lt;&gt;"x",$L17*SUMIFS($AF17:$DK17,$AF$4:$DK$4,Jahresscheiben!I$2),0)</f>
        <v>0</v>
      </c>
      <c r="DW17" s="85"/>
      <c r="DX17" s="61">
        <f t="shared" si="54"/>
        <v>12</v>
      </c>
      <c r="DY17" s="85">
        <f>IF($A17="x",$L17*SUMIFS($AF17:$DK17,$AF$4:$DK$4,Jahresscheiben!C$2)/2,0)</f>
        <v>30</v>
      </c>
      <c r="DZ17" s="85">
        <f>IF($A17="x",$L17*SUMIFS($AF17:$DK17,$AF$4:$DK$4,Jahresscheiben!D$2)/2,0)</f>
        <v>0</v>
      </c>
      <c r="EA17" s="85">
        <f>IF($A17="x",$L17*SUMIFS($AF17:$DK17,$AF$4:$DK$4,Jahresscheiben!E$2)/2,0)</f>
        <v>0</v>
      </c>
      <c r="EB17" s="85">
        <f>IF($A17="x",$L17*SUMIFS($AF17:$DK17,$AF$4:$DK$4,Jahresscheiben!F$2)/2,0)</f>
        <v>0</v>
      </c>
      <c r="EC17" s="85">
        <f>IF($A17="x",$L17*SUMIFS($AF17:$DK17,$AF$4:$DK$4,Jahresscheiben!G$2)/2,0)</f>
        <v>0</v>
      </c>
      <c r="ED17" s="85">
        <f>IF($A17="x",$L17*SUMIFS($AF17:$DK17,$AF$4:$DK$4,Jahresscheiben!H$2)/2,0)</f>
        <v>0</v>
      </c>
      <c r="EE17" s="85">
        <f>IF($A17="x",$L17*SUMIFS($AF17:$DK17,$AF$4:$DK$4,Jahresscheiben!I$2)/2,0)</f>
        <v>0</v>
      </c>
      <c r="EF17" s="85"/>
      <c r="EG17" s="61">
        <f t="shared" si="55"/>
        <v>12</v>
      </c>
      <c r="EH17" s="85" cm="1">
        <f t="array" ref="EH1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0.98638784770171628</v>
      </c>
      <c r="EI17" s="85" cm="1">
        <f t="array" ref="EI1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0.92723492723492718</v>
      </c>
      <c r="EJ17" s="85" cm="1">
        <f t="array" ref="EJ1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</v>
      </c>
      <c r="EK17" s="85" cm="1">
        <f t="array" ref="EK1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17" s="85" cm="1">
        <f t="array" ref="EL1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17" s="85" cm="1">
        <f t="array" ref="EM1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17" s="85" cm="1">
        <f t="array" ref="EN1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17" s="85"/>
      <c r="EQ17" s="61">
        <f t="shared" si="56"/>
        <v>12</v>
      </c>
      <c r="ER17" s="62">
        <f>IF($A17&lt;&gt;"x",$P17*SUMIFS($AF17:$DK17,$AF$4:$DK$4,Jahresscheiben!C$2),0)</f>
        <v>0</v>
      </c>
      <c r="ES17" s="62">
        <f>IF($A17&lt;&gt;"x",$P17*SUMIFS($AF17:$DK17,$AF$4:$DK$4,Jahresscheiben!D$2),0)</f>
        <v>0</v>
      </c>
      <c r="ET17" s="62">
        <f>IF($A17&lt;&gt;"x",$P17*SUMIFS($AF17:$DK17,$AF$4:$DK$4,Jahresscheiben!E$2),0)</f>
        <v>0</v>
      </c>
      <c r="EU17" s="62">
        <f>IF($A17&lt;&gt;"x",$P17*SUMIFS($AF17:$DK17,$AF$4:$DK$4,Jahresscheiben!F$2),0)</f>
        <v>0</v>
      </c>
      <c r="EV17" s="62">
        <f>IF($A17&lt;&gt;"x",$P17*SUMIFS($AF17:$DK17,$AF$4:$DK$4,Jahresscheiben!G$2),0)</f>
        <v>0</v>
      </c>
      <c r="EW17" s="62">
        <f>IF($A17&lt;&gt;"x",$P17*SUMIFS($AF17:$DK17,$AF$4:$DK$4,Jahresscheiben!H$2),0)</f>
        <v>0</v>
      </c>
      <c r="EX17" s="62">
        <f>IF($A17&lt;&gt;"x",$P17*SUMIFS($AF17:$DK17,$AF$4:$DK$4,Jahresscheiben!I$2),0)</f>
        <v>0</v>
      </c>
      <c r="EY17" s="85"/>
      <c r="EZ17" s="61">
        <f t="shared" si="57"/>
        <v>12</v>
      </c>
      <c r="FA17" s="85">
        <f>IF($A17="x",$P17*SUMIFS($AF17:$DK17,$AF$4:$DK$4,Jahresscheiben!C$2)/2,0)</f>
        <v>30</v>
      </c>
      <c r="FB17" s="85">
        <f>IF($A17="x",$P17*SUMIFS($AF17:$DK17,$AF$4:$DK$4,Jahresscheiben!D$2)/2,0)</f>
        <v>0</v>
      </c>
      <c r="FC17" s="85">
        <f>IF($A17="x",$P17*SUMIFS($AF17:$DK17,$AF$4:$DK$4,Jahresscheiben!E$2)/2,0)</f>
        <v>0</v>
      </c>
      <c r="FD17" s="85">
        <f>IF($A17="x",$P17*SUMIFS($AF17:$DK17,$AF$4:$DK$4,Jahresscheiben!F$2)/2,0)</f>
        <v>0</v>
      </c>
      <c r="FE17" s="85">
        <f>IF($A17="x",$P17*SUMIFS($AF17:$DK17,$AF$4:$DK$4,Jahresscheiben!G$2)/2,0)</f>
        <v>0</v>
      </c>
      <c r="FF17" s="85">
        <f>IF($A17="x",$P17*SUMIFS($AF17:$DK17,$AF$4:$DK$4,Jahresscheiben!H$2)/2,0)</f>
        <v>0</v>
      </c>
      <c r="FG17" s="85">
        <f>IF($A17="x",$P17*SUMIFS($AF17:$DK17,$AF$4:$DK$4,Jahresscheiben!I$2)/2,0)</f>
        <v>0</v>
      </c>
      <c r="FH17" s="85"/>
      <c r="FI17" s="61">
        <f t="shared" si="58"/>
        <v>12</v>
      </c>
      <c r="FJ17" s="85" cm="1">
        <f t="array" ref="FJ1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0.98638784770171628</v>
      </c>
      <c r="FK17" s="85" cm="1">
        <f t="array" ref="FK1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0.92723492723492718</v>
      </c>
      <c r="FL17" s="85" cm="1">
        <f t="array" ref="FL1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</v>
      </c>
      <c r="FM17" s="85" cm="1">
        <f t="array" ref="FM1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17" s="85" cm="1">
        <f t="array" ref="FN1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17" s="85" cm="1">
        <f t="array" ref="FO1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17" s="85" cm="1">
        <f t="array" ref="FP1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18" spans="1:172" ht="17" customHeight="1" thickBot="1" x14ac:dyDescent="0.55000000000000004">
      <c r="A18" s="30" t="s">
        <v>24</v>
      </c>
      <c r="B18" s="31">
        <f t="shared" si="50"/>
        <v>143</v>
      </c>
      <c r="C18" s="22">
        <f t="shared" si="51"/>
        <v>13</v>
      </c>
      <c r="D18" s="71" t="s">
        <v>63</v>
      </c>
      <c r="E18" s="7"/>
      <c r="F18" s="7">
        <v>9</v>
      </c>
      <c r="G18" s="7">
        <v>14</v>
      </c>
      <c r="H18" s="7"/>
      <c r="I18" s="6">
        <f t="shared" si="40"/>
        <v>46295</v>
      </c>
      <c r="J18" s="6">
        <f t="shared" si="41"/>
        <v>46446</v>
      </c>
      <c r="K18" s="7"/>
      <c r="L18" s="53">
        <v>9</v>
      </c>
      <c r="M18" s="60" cm="1">
        <f t="array" ref="M18" xml:space="preserve">
_xlfn.LET(
_xlpm.Z, _xlfn._xlws.FILTER($DY$6:$EE$65,$DX$6:$DX$65=C18),
_xlpm.Q,_xlfn._xlws.FILTER($DP$6:$DV$65,$DO$6:$DO$65=C18),
IF($A18="x",SUMPRODUCT(_xlpm.Z,$DY$73:$EE$73,EH18:EN18),SUMPRODUCT(_xlpm.Q,$DP$73:$DV$73)))</f>
        <v>0</v>
      </c>
      <c r="N18" s="54" t="str" cm="1">
        <f t="array" ref="N18" xml:space="preserve">
_xlfn.LET(
_xlpm.Z, SUM(IF($A18="x",_xlfn._xlws.FILTER($M$6:$M$65,$A$6:$A$65="x"),_xlfn._xlws.FILTER($M$6:$M$65,$A$6:$A$65&lt;&gt;"x"))),
IF(_xlpm.Z&lt;&gt;0,M18/_xlpm.Z,""))</f>
        <v/>
      </c>
      <c r="O18" s="7"/>
      <c r="P18" s="53">
        <f t="shared" si="52"/>
        <v>9</v>
      </c>
      <c r="Q18" s="60" cm="1">
        <f t="array" ref="Q18" xml:space="preserve">
_xlfn.LET(
_xlpm.Z, _xlfn._xlws.FILTER($FA$6:$FG$65,$EZ$6:$EZ$65=C18),
_xlpm.Q,_xlfn._xlws.FILTER($ER$6:$EX$65,$EQ$6:$EQ$65=C18),
IF($A18="x",SUMPRODUCT(_xlpm.Z,$FA$73:$FG$73,FJ18:FP18),SUMPRODUCT(_xlpm.Q,$ER$73:$EX$73)))</f>
        <v>0</v>
      </c>
      <c r="R18" s="54" t="str" cm="1">
        <f t="array" ref="R18" xml:space="preserve">
_xlfn.LET(
_xlpm.Z, SUM(IF($A18="x",_xlfn._xlws.FILTER($Q$6:$Q$65,$A$6:$A$65="x"),_xlfn._xlws.FILTER($Q$6:$Q$65,$A$6:$A$65&lt;&gt;"x"))),
IF(_xlpm.Z&lt;&gt;0,Q18/_xlpm.Z,""))</f>
        <v/>
      </c>
      <c r="S18" s="7"/>
      <c r="T18" s="6"/>
      <c r="U18" s="6"/>
      <c r="V18" s="6"/>
      <c r="W18" s="6"/>
      <c r="X18" s="6"/>
      <c r="Y18" s="6"/>
      <c r="Z18" s="6"/>
      <c r="AA18" s="6"/>
      <c r="AB18" s="6"/>
      <c r="AC18" s="6"/>
      <c r="AD18" s="7"/>
      <c r="AE18" s="7"/>
      <c r="AF18" s="23" t="str">
        <f t="shared" si="59"/>
        <v/>
      </c>
      <c r="AG18" s="23" t="str">
        <f t="shared" si="59"/>
        <v/>
      </c>
      <c r="AH18" s="23" t="str">
        <f t="shared" si="59"/>
        <v/>
      </c>
      <c r="AI18" s="23" t="str">
        <f t="shared" si="59"/>
        <v/>
      </c>
      <c r="AJ18" s="23" t="str">
        <f t="shared" si="59"/>
        <v/>
      </c>
      <c r="AK18" s="23" t="str">
        <f t="shared" si="59"/>
        <v/>
      </c>
      <c r="AL18" s="23" t="str">
        <f t="shared" si="59"/>
        <v/>
      </c>
      <c r="AM18" s="23" t="str">
        <f t="shared" si="59"/>
        <v/>
      </c>
      <c r="AN18" s="23">
        <f t="shared" si="59"/>
        <v>2</v>
      </c>
      <c r="AO18" s="23">
        <f t="shared" si="59"/>
        <v>2</v>
      </c>
      <c r="AP18" s="23">
        <f t="shared" si="60"/>
        <v>2</v>
      </c>
      <c r="AQ18" s="23">
        <f t="shared" si="60"/>
        <v>2</v>
      </c>
      <c r="AR18" s="23">
        <f t="shared" si="60"/>
        <v>2</v>
      </c>
      <c r="AS18" s="23">
        <f t="shared" si="60"/>
        <v>2</v>
      </c>
      <c r="AT18" s="23" t="str">
        <f t="shared" si="60"/>
        <v/>
      </c>
      <c r="AU18" s="23" t="str">
        <f t="shared" si="60"/>
        <v/>
      </c>
      <c r="AV18" s="23" t="str">
        <f t="shared" si="60"/>
        <v/>
      </c>
      <c r="AW18" s="23" t="str">
        <f t="shared" si="60"/>
        <v/>
      </c>
      <c r="AX18" s="23" t="str">
        <f t="shared" si="60"/>
        <v/>
      </c>
      <c r="AY18" s="23" t="str">
        <f t="shared" si="60"/>
        <v/>
      </c>
      <c r="AZ18" s="23" t="str">
        <f t="shared" si="61"/>
        <v/>
      </c>
      <c r="BA18" s="23" t="str">
        <f t="shared" si="61"/>
        <v/>
      </c>
      <c r="BB18" s="23" t="str">
        <f t="shared" si="61"/>
        <v/>
      </c>
      <c r="BC18" s="23" t="str">
        <f t="shared" si="61"/>
        <v/>
      </c>
      <c r="BD18" s="23" t="str">
        <f t="shared" si="61"/>
        <v/>
      </c>
      <c r="BE18" s="23" t="str">
        <f t="shared" si="61"/>
        <v/>
      </c>
      <c r="BF18" s="23" t="str">
        <f t="shared" si="61"/>
        <v/>
      </c>
      <c r="BG18" s="23" t="str">
        <f t="shared" si="61"/>
        <v/>
      </c>
      <c r="BH18" s="23" t="str">
        <f t="shared" si="61"/>
        <v/>
      </c>
      <c r="BI18" s="23" t="str">
        <f t="shared" si="61"/>
        <v/>
      </c>
      <c r="BJ18" s="23" t="str">
        <f t="shared" si="62"/>
        <v/>
      </c>
      <c r="BK18" s="23" t="str">
        <f t="shared" si="62"/>
        <v/>
      </c>
      <c r="BL18" s="23" t="str">
        <f t="shared" si="62"/>
        <v/>
      </c>
      <c r="BM18" s="23" t="str">
        <f t="shared" si="62"/>
        <v/>
      </c>
      <c r="BN18" s="23" t="str">
        <f t="shared" si="62"/>
        <v/>
      </c>
      <c r="BO18" s="23" t="str">
        <f t="shared" si="62"/>
        <v/>
      </c>
      <c r="BP18" s="23" t="str">
        <f t="shared" si="62"/>
        <v/>
      </c>
      <c r="BQ18" s="23" t="str">
        <f t="shared" si="62"/>
        <v/>
      </c>
      <c r="BR18" s="23" t="str">
        <f t="shared" si="62"/>
        <v/>
      </c>
      <c r="BS18" s="23" t="str">
        <f t="shared" si="62"/>
        <v/>
      </c>
      <c r="BT18" s="23" t="str">
        <f t="shared" si="63"/>
        <v/>
      </c>
      <c r="BU18" s="23" t="str">
        <f t="shared" si="63"/>
        <v/>
      </c>
      <c r="BV18" s="23" t="str">
        <f t="shared" si="63"/>
        <v/>
      </c>
      <c r="BW18" s="23" t="str">
        <f t="shared" si="63"/>
        <v/>
      </c>
      <c r="BX18" s="23" t="str">
        <f t="shared" si="63"/>
        <v/>
      </c>
      <c r="BY18" s="23" t="str">
        <f t="shared" si="63"/>
        <v/>
      </c>
      <c r="BZ18" s="23" t="str">
        <f t="shared" si="63"/>
        <v/>
      </c>
      <c r="CA18" s="23" t="str">
        <f t="shared" si="63"/>
        <v/>
      </c>
      <c r="CB18" s="23" t="str">
        <f t="shared" si="63"/>
        <v/>
      </c>
      <c r="CC18" s="23" t="str">
        <f t="shared" si="63"/>
        <v/>
      </c>
      <c r="CD18" s="23" t="str">
        <f t="shared" si="64"/>
        <v/>
      </c>
      <c r="CE18" s="23" t="str">
        <f t="shared" si="64"/>
        <v/>
      </c>
      <c r="CF18" s="23" t="str">
        <f t="shared" si="64"/>
        <v/>
      </c>
      <c r="CG18" s="23" t="str">
        <f t="shared" si="64"/>
        <v/>
      </c>
      <c r="CH18" s="23" t="str">
        <f t="shared" si="64"/>
        <v/>
      </c>
      <c r="CI18" s="23" t="str">
        <f t="shared" si="64"/>
        <v/>
      </c>
      <c r="CJ18" s="23" t="str">
        <f t="shared" si="64"/>
        <v/>
      </c>
      <c r="CK18" s="23" t="str">
        <f t="shared" si="64"/>
        <v/>
      </c>
      <c r="CL18" s="23" t="str">
        <f t="shared" si="64"/>
        <v/>
      </c>
      <c r="CM18" s="23" t="str">
        <f t="shared" si="64"/>
        <v/>
      </c>
      <c r="CN18" s="23" t="str">
        <f t="shared" si="65"/>
        <v/>
      </c>
      <c r="CO18" s="23" t="str">
        <f t="shared" si="65"/>
        <v/>
      </c>
      <c r="CP18" s="23" t="str">
        <f t="shared" si="65"/>
        <v/>
      </c>
      <c r="CQ18" s="23" t="str">
        <f t="shared" si="65"/>
        <v/>
      </c>
      <c r="CR18" s="23" t="str">
        <f t="shared" si="65"/>
        <v/>
      </c>
      <c r="CS18" s="23" t="str">
        <f t="shared" si="65"/>
        <v/>
      </c>
      <c r="CT18" s="23" t="str">
        <f t="shared" si="65"/>
        <v/>
      </c>
      <c r="CU18" s="23" t="str">
        <f t="shared" si="65"/>
        <v/>
      </c>
      <c r="CV18" s="23" t="str">
        <f t="shared" si="65"/>
        <v/>
      </c>
      <c r="CW18" s="23" t="str">
        <f t="shared" si="65"/>
        <v/>
      </c>
      <c r="CX18" s="23" t="str">
        <f t="shared" si="66"/>
        <v/>
      </c>
      <c r="CY18" s="23" t="str">
        <f t="shared" si="66"/>
        <v/>
      </c>
      <c r="CZ18" s="23" t="str">
        <f t="shared" si="66"/>
        <v/>
      </c>
      <c r="DA18" s="23" t="str">
        <f t="shared" si="66"/>
        <v/>
      </c>
      <c r="DB18" s="23" t="str">
        <f t="shared" si="66"/>
        <v/>
      </c>
      <c r="DC18" s="23" t="str">
        <f t="shared" si="66"/>
        <v/>
      </c>
      <c r="DD18" s="23" t="str">
        <f t="shared" si="66"/>
        <v/>
      </c>
      <c r="DE18" s="23" t="str">
        <f t="shared" si="66"/>
        <v/>
      </c>
      <c r="DF18" s="23" t="str">
        <f t="shared" si="66"/>
        <v/>
      </c>
      <c r="DG18" s="23" t="str">
        <f t="shared" si="66"/>
        <v/>
      </c>
      <c r="DH18" s="23" t="str">
        <f t="shared" si="66"/>
        <v/>
      </c>
      <c r="DI18" s="23" t="str">
        <f t="shared" si="66"/>
        <v/>
      </c>
      <c r="DJ18" s="23" t="str">
        <f t="shared" si="66"/>
        <v/>
      </c>
      <c r="DK18" s="23" t="str">
        <f t="shared" si="66"/>
        <v/>
      </c>
      <c r="DO18" s="61">
        <f t="shared" si="53"/>
        <v>13</v>
      </c>
      <c r="DP18" s="61">
        <f>IF($A18&lt;&gt;"x",$L18*SUMIFS($AF18:$DK18,$AF$4:$DK$4,Jahresscheiben!C$2),0)</f>
        <v>0</v>
      </c>
      <c r="DQ18" s="61">
        <f>IF($A18&lt;&gt;"x",$L18*SUMIFS($AF18:$DK18,$AF$4:$DK$4,Jahresscheiben!D$2),0)</f>
        <v>0</v>
      </c>
      <c r="DR18" s="61">
        <f>IF($A18&lt;&gt;"x",$L18*SUMIFS($AF18:$DK18,$AF$4:$DK$4,Jahresscheiben!E$2),0)</f>
        <v>0</v>
      </c>
      <c r="DS18" s="61">
        <f>IF($A18&lt;&gt;"x",$L18*SUMIFS($AF18:$DK18,$AF$4:$DK$4,Jahresscheiben!F$2),0)</f>
        <v>0</v>
      </c>
      <c r="DT18" s="61">
        <f>IF($A18&lt;&gt;"x",$L18*SUMIFS($AF18:$DK18,$AF$4:$DK$4,Jahresscheiben!G$2),0)</f>
        <v>0</v>
      </c>
      <c r="DU18" s="61">
        <f>IF($A18&lt;&gt;"x",$L18*SUMIFS($AF18:$DK18,$AF$4:$DK$4,Jahresscheiben!H$2),0)</f>
        <v>0</v>
      </c>
      <c r="DV18" s="61">
        <f>IF($A18&lt;&gt;"x",$L18*SUMIFS($AF18:$DK18,$AF$4:$DK$4,Jahresscheiben!I$2),0)</f>
        <v>0</v>
      </c>
      <c r="DW18" s="85"/>
      <c r="DX18" s="61">
        <f t="shared" si="54"/>
        <v>13</v>
      </c>
      <c r="DY18" s="85">
        <f>IF($A18="x",$L18*SUMIFS($AF18:$DK18,$AF$4:$DK$4,Jahresscheiben!C$2)/2,0)</f>
        <v>36</v>
      </c>
      <c r="DZ18" s="85">
        <f>IF($A18="x",$L18*SUMIFS($AF18:$DK18,$AF$4:$DK$4,Jahresscheiben!D$2)/2,0)</f>
        <v>18</v>
      </c>
      <c r="EA18" s="85">
        <f>IF($A18="x",$L18*SUMIFS($AF18:$DK18,$AF$4:$DK$4,Jahresscheiben!E$2)/2,0)</f>
        <v>0</v>
      </c>
      <c r="EB18" s="85">
        <f>IF($A18="x",$L18*SUMIFS($AF18:$DK18,$AF$4:$DK$4,Jahresscheiben!F$2)/2,0)</f>
        <v>0</v>
      </c>
      <c r="EC18" s="85">
        <f>IF($A18="x",$L18*SUMIFS($AF18:$DK18,$AF$4:$DK$4,Jahresscheiben!G$2)/2,0)</f>
        <v>0</v>
      </c>
      <c r="ED18" s="85">
        <f>IF($A18="x",$L18*SUMIFS($AF18:$DK18,$AF$4:$DK$4,Jahresscheiben!H$2)/2,0)</f>
        <v>0</v>
      </c>
      <c r="EE18" s="85">
        <f>IF($A18="x",$L18*SUMIFS($AF18:$DK18,$AF$4:$DK$4,Jahresscheiben!I$2)/2,0)</f>
        <v>0</v>
      </c>
      <c r="EF18" s="85"/>
      <c r="EG18" s="61">
        <f t="shared" si="55"/>
        <v>13</v>
      </c>
      <c r="EH18" s="85" cm="1">
        <f t="array" ref="EH1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0.98638784770171628</v>
      </c>
      <c r="EI18" s="85" cm="1">
        <f t="array" ref="EI1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0.92723492723492718</v>
      </c>
      <c r="EJ18" s="85" cm="1">
        <f t="array" ref="EJ1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</v>
      </c>
      <c r="EK18" s="85" cm="1">
        <f t="array" ref="EK1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18" s="85" cm="1">
        <f t="array" ref="EL1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18" s="85" cm="1">
        <f t="array" ref="EM1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18" s="85" cm="1">
        <f t="array" ref="EN1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18" s="85"/>
      <c r="EQ18" s="61">
        <f t="shared" si="56"/>
        <v>13</v>
      </c>
      <c r="ER18" s="62">
        <f>IF($A18&lt;&gt;"x",$P18*SUMIFS($AF18:$DK18,$AF$4:$DK$4,Jahresscheiben!C$2),0)</f>
        <v>0</v>
      </c>
      <c r="ES18" s="62">
        <f>IF($A18&lt;&gt;"x",$P18*SUMIFS($AF18:$DK18,$AF$4:$DK$4,Jahresscheiben!D$2),0)</f>
        <v>0</v>
      </c>
      <c r="ET18" s="62">
        <f>IF($A18&lt;&gt;"x",$P18*SUMIFS($AF18:$DK18,$AF$4:$DK$4,Jahresscheiben!E$2),0)</f>
        <v>0</v>
      </c>
      <c r="EU18" s="62">
        <f>IF($A18&lt;&gt;"x",$P18*SUMIFS($AF18:$DK18,$AF$4:$DK$4,Jahresscheiben!F$2),0)</f>
        <v>0</v>
      </c>
      <c r="EV18" s="62">
        <f>IF($A18&lt;&gt;"x",$P18*SUMIFS($AF18:$DK18,$AF$4:$DK$4,Jahresscheiben!G$2),0)</f>
        <v>0</v>
      </c>
      <c r="EW18" s="62">
        <f>IF($A18&lt;&gt;"x",$P18*SUMIFS($AF18:$DK18,$AF$4:$DK$4,Jahresscheiben!H$2),0)</f>
        <v>0</v>
      </c>
      <c r="EX18" s="62">
        <f>IF($A18&lt;&gt;"x",$P18*SUMIFS($AF18:$DK18,$AF$4:$DK$4,Jahresscheiben!I$2),0)</f>
        <v>0</v>
      </c>
      <c r="EY18" s="85"/>
      <c r="EZ18" s="61">
        <f t="shared" si="57"/>
        <v>13</v>
      </c>
      <c r="FA18" s="85">
        <f>IF($A18="x",$P18*SUMIFS($AF18:$DK18,$AF$4:$DK$4,Jahresscheiben!C$2)/2,0)</f>
        <v>36</v>
      </c>
      <c r="FB18" s="85">
        <f>IF($A18="x",$P18*SUMIFS($AF18:$DK18,$AF$4:$DK$4,Jahresscheiben!D$2)/2,0)</f>
        <v>18</v>
      </c>
      <c r="FC18" s="85">
        <f>IF($A18="x",$P18*SUMIFS($AF18:$DK18,$AF$4:$DK$4,Jahresscheiben!E$2)/2,0)</f>
        <v>0</v>
      </c>
      <c r="FD18" s="85">
        <f>IF($A18="x",$P18*SUMIFS($AF18:$DK18,$AF$4:$DK$4,Jahresscheiben!F$2)/2,0)</f>
        <v>0</v>
      </c>
      <c r="FE18" s="85">
        <f>IF($A18="x",$P18*SUMIFS($AF18:$DK18,$AF$4:$DK$4,Jahresscheiben!G$2)/2,0)</f>
        <v>0</v>
      </c>
      <c r="FF18" s="85">
        <f>IF($A18="x",$P18*SUMIFS($AF18:$DK18,$AF$4:$DK$4,Jahresscheiben!H$2)/2,0)</f>
        <v>0</v>
      </c>
      <c r="FG18" s="85">
        <f>IF($A18="x",$P18*SUMIFS($AF18:$DK18,$AF$4:$DK$4,Jahresscheiben!I$2)/2,0)</f>
        <v>0</v>
      </c>
      <c r="FH18" s="85"/>
      <c r="FI18" s="61">
        <f t="shared" si="58"/>
        <v>13</v>
      </c>
      <c r="FJ18" s="85" cm="1">
        <f t="array" ref="FJ1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0.98638784770171628</v>
      </c>
      <c r="FK18" s="85" cm="1">
        <f t="array" ref="FK1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0.92723492723492718</v>
      </c>
      <c r="FL18" s="85" cm="1">
        <f t="array" ref="FL1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</v>
      </c>
      <c r="FM18" s="85" cm="1">
        <f t="array" ref="FM1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18" s="85" cm="1">
        <f t="array" ref="FN1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18" s="85" cm="1">
        <f t="array" ref="FO1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18" s="85" cm="1">
        <f t="array" ref="FP1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19" spans="1:172" ht="17" customHeight="1" thickBot="1" x14ac:dyDescent="0.55000000000000004">
      <c r="A19" s="30" t="s">
        <v>24</v>
      </c>
      <c r="B19" s="31">
        <f t="shared" si="50"/>
        <v>144</v>
      </c>
      <c r="C19" s="22">
        <f t="shared" si="51"/>
        <v>14</v>
      </c>
      <c r="D19" s="71" t="s">
        <v>64</v>
      </c>
      <c r="E19" s="26"/>
      <c r="F19" s="26">
        <v>12</v>
      </c>
      <c r="G19" s="26">
        <v>16</v>
      </c>
      <c r="H19" s="26"/>
      <c r="I19" s="6">
        <f t="shared" si="40"/>
        <v>46387</v>
      </c>
      <c r="J19" s="6">
        <f t="shared" si="41"/>
        <v>46507</v>
      </c>
      <c r="K19" s="26"/>
      <c r="L19" s="53">
        <v>8</v>
      </c>
      <c r="M19" s="60" cm="1">
        <f t="array" ref="M19" xml:space="preserve">
_xlfn.LET(
_xlpm.Z, _xlfn._xlws.FILTER($DY$6:$EE$65,$DX$6:$DX$65=C19),
_xlpm.Q,_xlfn._xlws.FILTER($DP$6:$DV$65,$DO$6:$DO$65=C19),
IF($A19="x",SUMPRODUCT(_xlpm.Z,$DY$73:$EE$73,EH19:EN19),SUMPRODUCT(_xlpm.Q,$DP$73:$DV$73)))</f>
        <v>0</v>
      </c>
      <c r="N19" s="54" t="str" cm="1">
        <f t="array" ref="N19" xml:space="preserve">
_xlfn.LET(
_xlpm.Z, SUM(IF($A19="x",_xlfn._xlws.FILTER($M$6:$M$65,$A$6:$A$65="x"),_xlfn._xlws.FILTER($M$6:$M$65,$A$6:$A$65&lt;&gt;"x"))),
IF(_xlpm.Z&lt;&gt;0,M19/_xlpm.Z,""))</f>
        <v/>
      </c>
      <c r="O19" s="26"/>
      <c r="P19" s="53">
        <f t="shared" si="52"/>
        <v>8</v>
      </c>
      <c r="Q19" s="60" cm="1">
        <f t="array" ref="Q19" xml:space="preserve">
_xlfn.LET(
_xlpm.Z, _xlfn._xlws.FILTER($FA$6:$FG$65,$EZ$6:$EZ$65=C19),
_xlpm.Q,_xlfn._xlws.FILTER($ER$6:$EX$65,$EQ$6:$EQ$65=C19),
IF($A19="x",SUMPRODUCT(_xlpm.Z,$FA$73:$FG$73,FJ19:FP19),SUMPRODUCT(_xlpm.Q,$ER$73:$EX$73)))</f>
        <v>0</v>
      </c>
      <c r="R19" s="54" t="str" cm="1">
        <f t="array" ref="R19" xml:space="preserve">
_xlfn.LET(
_xlpm.Z, SUM(IF($A19="x",_xlfn._xlws.FILTER($Q$6:$Q$65,$A$6:$A$65="x"),_xlfn._xlws.FILTER($Q$6:$Q$65,$A$6:$A$65&lt;&gt;"x"))),
IF(_xlpm.Z&lt;&gt;0,Q19/_xlpm.Z,""))</f>
        <v/>
      </c>
      <c r="S19" s="26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8"/>
      <c r="AE19" s="28"/>
      <c r="AF19" s="23" t="str">
        <f t="shared" si="59"/>
        <v/>
      </c>
      <c r="AG19" s="23" t="str">
        <f t="shared" si="59"/>
        <v/>
      </c>
      <c r="AH19" s="23" t="str">
        <f t="shared" si="59"/>
        <v/>
      </c>
      <c r="AI19" s="23" t="str">
        <f t="shared" si="59"/>
        <v/>
      </c>
      <c r="AJ19" s="23" t="str">
        <f t="shared" si="59"/>
        <v/>
      </c>
      <c r="AK19" s="23" t="str">
        <f t="shared" si="59"/>
        <v/>
      </c>
      <c r="AL19" s="23" t="str">
        <f t="shared" si="59"/>
        <v/>
      </c>
      <c r="AM19" s="23" t="str">
        <f t="shared" si="59"/>
        <v/>
      </c>
      <c r="AN19" s="23" t="str">
        <f t="shared" si="59"/>
        <v/>
      </c>
      <c r="AO19" s="23" t="str">
        <f t="shared" si="59"/>
        <v/>
      </c>
      <c r="AP19" s="23" t="str">
        <f t="shared" si="60"/>
        <v/>
      </c>
      <c r="AQ19" s="23">
        <f t="shared" si="60"/>
        <v>2</v>
      </c>
      <c r="AR19" s="23">
        <f t="shared" si="60"/>
        <v>2</v>
      </c>
      <c r="AS19" s="23">
        <f t="shared" si="60"/>
        <v>2</v>
      </c>
      <c r="AT19" s="23">
        <f t="shared" si="60"/>
        <v>2</v>
      </c>
      <c r="AU19" s="23">
        <f t="shared" si="60"/>
        <v>2</v>
      </c>
      <c r="AV19" s="23" t="str">
        <f t="shared" si="60"/>
        <v/>
      </c>
      <c r="AW19" s="23" t="str">
        <f t="shared" si="60"/>
        <v/>
      </c>
      <c r="AX19" s="23" t="str">
        <f t="shared" si="60"/>
        <v/>
      </c>
      <c r="AY19" s="23" t="str">
        <f t="shared" si="60"/>
        <v/>
      </c>
      <c r="AZ19" s="23" t="str">
        <f t="shared" si="61"/>
        <v/>
      </c>
      <c r="BA19" s="23" t="str">
        <f t="shared" si="61"/>
        <v/>
      </c>
      <c r="BB19" s="23" t="str">
        <f t="shared" si="61"/>
        <v/>
      </c>
      <c r="BC19" s="23" t="str">
        <f t="shared" si="61"/>
        <v/>
      </c>
      <c r="BD19" s="23" t="str">
        <f t="shared" si="61"/>
        <v/>
      </c>
      <c r="BE19" s="23" t="str">
        <f t="shared" si="61"/>
        <v/>
      </c>
      <c r="BF19" s="23" t="str">
        <f t="shared" si="61"/>
        <v/>
      </c>
      <c r="BG19" s="23" t="str">
        <f t="shared" si="61"/>
        <v/>
      </c>
      <c r="BH19" s="23" t="str">
        <f t="shared" si="61"/>
        <v/>
      </c>
      <c r="BI19" s="23" t="str">
        <f t="shared" si="61"/>
        <v/>
      </c>
      <c r="BJ19" s="23" t="str">
        <f t="shared" si="62"/>
        <v/>
      </c>
      <c r="BK19" s="23" t="str">
        <f t="shared" si="62"/>
        <v/>
      </c>
      <c r="BL19" s="23" t="str">
        <f t="shared" si="62"/>
        <v/>
      </c>
      <c r="BM19" s="23" t="str">
        <f t="shared" si="62"/>
        <v/>
      </c>
      <c r="BN19" s="23" t="str">
        <f t="shared" si="62"/>
        <v/>
      </c>
      <c r="BO19" s="23" t="str">
        <f t="shared" si="62"/>
        <v/>
      </c>
      <c r="BP19" s="23" t="str">
        <f t="shared" si="62"/>
        <v/>
      </c>
      <c r="BQ19" s="23" t="str">
        <f t="shared" si="62"/>
        <v/>
      </c>
      <c r="BR19" s="23" t="str">
        <f t="shared" si="62"/>
        <v/>
      </c>
      <c r="BS19" s="23" t="str">
        <f t="shared" si="62"/>
        <v/>
      </c>
      <c r="BT19" s="23" t="str">
        <f t="shared" si="63"/>
        <v/>
      </c>
      <c r="BU19" s="23" t="str">
        <f t="shared" si="63"/>
        <v/>
      </c>
      <c r="BV19" s="23" t="str">
        <f t="shared" si="63"/>
        <v/>
      </c>
      <c r="BW19" s="23" t="str">
        <f t="shared" si="63"/>
        <v/>
      </c>
      <c r="BX19" s="23" t="str">
        <f t="shared" si="63"/>
        <v/>
      </c>
      <c r="BY19" s="23" t="str">
        <f t="shared" si="63"/>
        <v/>
      </c>
      <c r="BZ19" s="23" t="str">
        <f t="shared" si="63"/>
        <v/>
      </c>
      <c r="CA19" s="23" t="str">
        <f t="shared" si="63"/>
        <v/>
      </c>
      <c r="CB19" s="23" t="str">
        <f t="shared" si="63"/>
        <v/>
      </c>
      <c r="CC19" s="23" t="str">
        <f t="shared" si="63"/>
        <v/>
      </c>
      <c r="CD19" s="23" t="str">
        <f t="shared" si="64"/>
        <v/>
      </c>
      <c r="CE19" s="23" t="str">
        <f t="shared" si="64"/>
        <v/>
      </c>
      <c r="CF19" s="23" t="str">
        <f t="shared" si="64"/>
        <v/>
      </c>
      <c r="CG19" s="23" t="str">
        <f t="shared" si="64"/>
        <v/>
      </c>
      <c r="CH19" s="23" t="str">
        <f t="shared" si="64"/>
        <v/>
      </c>
      <c r="CI19" s="23" t="str">
        <f t="shared" si="64"/>
        <v/>
      </c>
      <c r="CJ19" s="23" t="str">
        <f t="shared" si="64"/>
        <v/>
      </c>
      <c r="CK19" s="23" t="str">
        <f t="shared" si="64"/>
        <v/>
      </c>
      <c r="CL19" s="23" t="str">
        <f t="shared" si="64"/>
        <v/>
      </c>
      <c r="CM19" s="23" t="str">
        <f t="shared" si="64"/>
        <v/>
      </c>
      <c r="CN19" s="23" t="str">
        <f t="shared" si="65"/>
        <v/>
      </c>
      <c r="CO19" s="23" t="str">
        <f t="shared" si="65"/>
        <v/>
      </c>
      <c r="CP19" s="23" t="str">
        <f t="shared" si="65"/>
        <v/>
      </c>
      <c r="CQ19" s="23" t="str">
        <f t="shared" si="65"/>
        <v/>
      </c>
      <c r="CR19" s="23" t="str">
        <f t="shared" si="65"/>
        <v/>
      </c>
      <c r="CS19" s="23" t="str">
        <f t="shared" si="65"/>
        <v/>
      </c>
      <c r="CT19" s="23" t="str">
        <f t="shared" si="65"/>
        <v/>
      </c>
      <c r="CU19" s="23" t="str">
        <f t="shared" si="65"/>
        <v/>
      </c>
      <c r="CV19" s="23" t="str">
        <f t="shared" si="65"/>
        <v/>
      </c>
      <c r="CW19" s="23" t="str">
        <f t="shared" si="65"/>
        <v/>
      </c>
      <c r="CX19" s="23" t="str">
        <f t="shared" si="66"/>
        <v/>
      </c>
      <c r="CY19" s="23" t="str">
        <f t="shared" si="66"/>
        <v/>
      </c>
      <c r="CZ19" s="23" t="str">
        <f t="shared" si="66"/>
        <v/>
      </c>
      <c r="DA19" s="23" t="str">
        <f t="shared" si="66"/>
        <v/>
      </c>
      <c r="DB19" s="23" t="str">
        <f t="shared" si="66"/>
        <v/>
      </c>
      <c r="DC19" s="23" t="str">
        <f t="shared" si="66"/>
        <v/>
      </c>
      <c r="DD19" s="23" t="str">
        <f t="shared" si="66"/>
        <v/>
      </c>
      <c r="DE19" s="23" t="str">
        <f t="shared" si="66"/>
        <v/>
      </c>
      <c r="DF19" s="23" t="str">
        <f t="shared" si="66"/>
        <v/>
      </c>
      <c r="DG19" s="23" t="str">
        <f t="shared" si="66"/>
        <v/>
      </c>
      <c r="DH19" s="23" t="str">
        <f t="shared" si="66"/>
        <v/>
      </c>
      <c r="DI19" s="23" t="str">
        <f t="shared" si="66"/>
        <v/>
      </c>
      <c r="DJ19" s="23" t="str">
        <f t="shared" si="66"/>
        <v/>
      </c>
      <c r="DK19" s="23" t="str">
        <f t="shared" si="66"/>
        <v/>
      </c>
      <c r="DO19" s="61">
        <f t="shared" si="53"/>
        <v>14</v>
      </c>
      <c r="DP19" s="61">
        <f>IF($A19&lt;&gt;"x",$L19*SUMIFS($AF19:$DK19,$AF$4:$DK$4,Jahresscheiben!C$2),0)</f>
        <v>0</v>
      </c>
      <c r="DQ19" s="61">
        <f>IF($A19&lt;&gt;"x",$L19*SUMIFS($AF19:$DK19,$AF$4:$DK$4,Jahresscheiben!D$2),0)</f>
        <v>0</v>
      </c>
      <c r="DR19" s="61">
        <f>IF($A19&lt;&gt;"x",$L19*SUMIFS($AF19:$DK19,$AF$4:$DK$4,Jahresscheiben!E$2),0)</f>
        <v>0</v>
      </c>
      <c r="DS19" s="61">
        <f>IF($A19&lt;&gt;"x",$L19*SUMIFS($AF19:$DK19,$AF$4:$DK$4,Jahresscheiben!F$2),0)</f>
        <v>0</v>
      </c>
      <c r="DT19" s="61">
        <f>IF($A19&lt;&gt;"x",$L19*SUMIFS($AF19:$DK19,$AF$4:$DK$4,Jahresscheiben!G$2),0)</f>
        <v>0</v>
      </c>
      <c r="DU19" s="61">
        <f>IF($A19&lt;&gt;"x",$L19*SUMIFS($AF19:$DK19,$AF$4:$DK$4,Jahresscheiben!H$2),0)</f>
        <v>0</v>
      </c>
      <c r="DV19" s="61">
        <f>IF($A19&lt;&gt;"x",$L19*SUMIFS($AF19:$DK19,$AF$4:$DK$4,Jahresscheiben!I$2),0)</f>
        <v>0</v>
      </c>
      <c r="DW19" s="85"/>
      <c r="DX19" s="61">
        <f t="shared" si="54"/>
        <v>14</v>
      </c>
      <c r="DY19" s="85">
        <f>IF($A19="x",$L19*SUMIFS($AF19:$DK19,$AF$4:$DK$4,Jahresscheiben!C$2)/2,0)</f>
        <v>8</v>
      </c>
      <c r="DZ19" s="85">
        <f>IF($A19="x",$L19*SUMIFS($AF19:$DK19,$AF$4:$DK$4,Jahresscheiben!D$2)/2,0)</f>
        <v>32</v>
      </c>
      <c r="EA19" s="85">
        <f>IF($A19="x",$L19*SUMIFS($AF19:$DK19,$AF$4:$DK$4,Jahresscheiben!E$2)/2,0)</f>
        <v>0</v>
      </c>
      <c r="EB19" s="85">
        <f>IF($A19="x",$L19*SUMIFS($AF19:$DK19,$AF$4:$DK$4,Jahresscheiben!F$2)/2,0)</f>
        <v>0</v>
      </c>
      <c r="EC19" s="85">
        <f>IF($A19="x",$L19*SUMIFS($AF19:$DK19,$AF$4:$DK$4,Jahresscheiben!G$2)/2,0)</f>
        <v>0</v>
      </c>
      <c r="ED19" s="85">
        <f>IF($A19="x",$L19*SUMIFS($AF19:$DK19,$AF$4:$DK$4,Jahresscheiben!H$2)/2,0)</f>
        <v>0</v>
      </c>
      <c r="EE19" s="85">
        <f>IF($A19="x",$L19*SUMIFS($AF19:$DK19,$AF$4:$DK$4,Jahresscheiben!I$2)/2,0)</f>
        <v>0</v>
      </c>
      <c r="EF19" s="85"/>
      <c r="EG19" s="61">
        <f t="shared" si="55"/>
        <v>14</v>
      </c>
      <c r="EH19" s="85" cm="1">
        <f t="array" ref="EH1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0.98638784770171628</v>
      </c>
      <c r="EI19" s="85" cm="1">
        <f t="array" ref="EI1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0.92723492723492718</v>
      </c>
      <c r="EJ19" s="85" cm="1">
        <f t="array" ref="EJ1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</v>
      </c>
      <c r="EK19" s="85" cm="1">
        <f t="array" ref="EK1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19" s="85" cm="1">
        <f t="array" ref="EL1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19" s="85" cm="1">
        <f t="array" ref="EM1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19" s="85" cm="1">
        <f t="array" ref="EN1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19" s="85"/>
      <c r="EQ19" s="61">
        <f t="shared" si="56"/>
        <v>14</v>
      </c>
      <c r="ER19" s="62">
        <f>IF($A19&lt;&gt;"x",$P19*SUMIFS($AF19:$DK19,$AF$4:$DK$4,Jahresscheiben!C$2),0)</f>
        <v>0</v>
      </c>
      <c r="ES19" s="62">
        <f>IF($A19&lt;&gt;"x",$P19*SUMIFS($AF19:$DK19,$AF$4:$DK$4,Jahresscheiben!D$2),0)</f>
        <v>0</v>
      </c>
      <c r="ET19" s="62">
        <f>IF($A19&lt;&gt;"x",$P19*SUMIFS($AF19:$DK19,$AF$4:$DK$4,Jahresscheiben!E$2),0)</f>
        <v>0</v>
      </c>
      <c r="EU19" s="62">
        <f>IF($A19&lt;&gt;"x",$P19*SUMIFS($AF19:$DK19,$AF$4:$DK$4,Jahresscheiben!F$2),0)</f>
        <v>0</v>
      </c>
      <c r="EV19" s="62">
        <f>IF($A19&lt;&gt;"x",$P19*SUMIFS($AF19:$DK19,$AF$4:$DK$4,Jahresscheiben!G$2),0)</f>
        <v>0</v>
      </c>
      <c r="EW19" s="62">
        <f>IF($A19&lt;&gt;"x",$P19*SUMIFS($AF19:$DK19,$AF$4:$DK$4,Jahresscheiben!H$2),0)</f>
        <v>0</v>
      </c>
      <c r="EX19" s="62">
        <f>IF($A19&lt;&gt;"x",$P19*SUMIFS($AF19:$DK19,$AF$4:$DK$4,Jahresscheiben!I$2),0)</f>
        <v>0</v>
      </c>
      <c r="EY19" s="85"/>
      <c r="EZ19" s="61">
        <f t="shared" si="57"/>
        <v>14</v>
      </c>
      <c r="FA19" s="85">
        <f>IF($A19="x",$P19*SUMIFS($AF19:$DK19,$AF$4:$DK$4,Jahresscheiben!C$2)/2,0)</f>
        <v>8</v>
      </c>
      <c r="FB19" s="85">
        <f>IF($A19="x",$P19*SUMIFS($AF19:$DK19,$AF$4:$DK$4,Jahresscheiben!D$2)/2,0)</f>
        <v>32</v>
      </c>
      <c r="FC19" s="85">
        <f>IF($A19="x",$P19*SUMIFS($AF19:$DK19,$AF$4:$DK$4,Jahresscheiben!E$2)/2,0)</f>
        <v>0</v>
      </c>
      <c r="FD19" s="85">
        <f>IF($A19="x",$P19*SUMIFS($AF19:$DK19,$AF$4:$DK$4,Jahresscheiben!F$2)/2,0)</f>
        <v>0</v>
      </c>
      <c r="FE19" s="85">
        <f>IF($A19="x",$P19*SUMIFS($AF19:$DK19,$AF$4:$DK$4,Jahresscheiben!G$2)/2,0)</f>
        <v>0</v>
      </c>
      <c r="FF19" s="85">
        <f>IF($A19="x",$P19*SUMIFS($AF19:$DK19,$AF$4:$DK$4,Jahresscheiben!H$2)/2,0)</f>
        <v>0</v>
      </c>
      <c r="FG19" s="85">
        <f>IF($A19="x",$P19*SUMIFS($AF19:$DK19,$AF$4:$DK$4,Jahresscheiben!I$2)/2,0)</f>
        <v>0</v>
      </c>
      <c r="FH19" s="85"/>
      <c r="FI19" s="61">
        <f t="shared" si="58"/>
        <v>14</v>
      </c>
      <c r="FJ19" s="85" cm="1">
        <f t="array" ref="FJ1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0.98638784770171628</v>
      </c>
      <c r="FK19" s="85" cm="1">
        <f t="array" ref="FK1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0.92723492723492718</v>
      </c>
      <c r="FL19" s="85" cm="1">
        <f t="array" ref="FL1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</v>
      </c>
      <c r="FM19" s="85" cm="1">
        <f t="array" ref="FM1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19" s="85" cm="1">
        <f t="array" ref="FN1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19" s="85" cm="1">
        <f t="array" ref="FO1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19" s="85" cm="1">
        <f t="array" ref="FP1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20" spans="1:172" ht="17" customHeight="1" thickBot="1" x14ac:dyDescent="0.55000000000000004">
      <c r="A20" s="30" t="s">
        <v>24</v>
      </c>
      <c r="B20" s="31">
        <f t="shared" si="50"/>
        <v>149</v>
      </c>
      <c r="C20" s="22">
        <f t="shared" si="51"/>
        <v>15</v>
      </c>
      <c r="D20" s="71" t="s">
        <v>65</v>
      </c>
      <c r="E20" s="26"/>
      <c r="F20" s="26">
        <v>15</v>
      </c>
      <c r="G20" s="26">
        <v>17</v>
      </c>
      <c r="H20" s="26"/>
      <c r="I20" s="6">
        <f t="shared" si="40"/>
        <v>46477</v>
      </c>
      <c r="J20" s="6">
        <f t="shared" si="41"/>
        <v>46538</v>
      </c>
      <c r="K20" s="26"/>
      <c r="L20" s="53">
        <v>5</v>
      </c>
      <c r="M20" s="60" cm="1">
        <f t="array" ref="M20" xml:space="preserve">
_xlfn.LET(
_xlpm.Z, _xlfn._xlws.FILTER($DY$6:$EE$65,$DX$6:$DX$65=C20),
_xlpm.Q,_xlfn._xlws.FILTER($DP$6:$DV$65,$DO$6:$DO$65=C20),
IF($A20="x",SUMPRODUCT(_xlpm.Z,$DY$73:$EE$73,EH20:EN20),SUMPRODUCT(_xlpm.Q,$DP$73:$DV$73)))</f>
        <v>0</v>
      </c>
      <c r="N20" s="54" t="str" cm="1">
        <f t="array" ref="N20" xml:space="preserve">
_xlfn.LET(
_xlpm.Z, SUM(IF($A20="x",_xlfn._xlws.FILTER($M$6:$M$65,$A$6:$A$65="x"),_xlfn._xlws.FILTER($M$6:$M$65,$A$6:$A$65&lt;&gt;"x"))),
IF(_xlpm.Z&lt;&gt;0,M20/_xlpm.Z,""))</f>
        <v/>
      </c>
      <c r="O20" s="26"/>
      <c r="P20" s="53">
        <f t="shared" si="52"/>
        <v>5</v>
      </c>
      <c r="Q20" s="60" cm="1">
        <f t="array" ref="Q20" xml:space="preserve">
_xlfn.LET(
_xlpm.Z, _xlfn._xlws.FILTER($FA$6:$FG$65,$EZ$6:$EZ$65=C20),
_xlpm.Q,_xlfn._xlws.FILTER($ER$6:$EX$65,$EQ$6:$EQ$65=C20),
IF($A20="x",SUMPRODUCT(_xlpm.Z,$FA$73:$FG$73,FJ20:FP20),SUMPRODUCT(_xlpm.Q,$ER$73:$EX$73)))</f>
        <v>0</v>
      </c>
      <c r="R20" s="54" t="str" cm="1">
        <f t="array" ref="R20" xml:space="preserve">
_xlfn.LET(
_xlpm.Z, SUM(IF($A20="x",_xlfn._xlws.FILTER($Q$6:$Q$65,$A$6:$A$65="x"),_xlfn._xlws.FILTER($Q$6:$Q$65,$A$6:$A$65&lt;&gt;"x"))),
IF(_xlpm.Z&lt;&gt;0,Q20/_xlpm.Z,""))</f>
        <v/>
      </c>
      <c r="S20" s="26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8"/>
      <c r="AE20" s="28"/>
      <c r="AF20" s="23" t="str">
        <f t="shared" si="59"/>
        <v/>
      </c>
      <c r="AG20" s="23" t="str">
        <f t="shared" si="59"/>
        <v/>
      </c>
      <c r="AH20" s="23" t="str">
        <f t="shared" si="59"/>
        <v/>
      </c>
      <c r="AI20" s="23" t="str">
        <f t="shared" si="59"/>
        <v/>
      </c>
      <c r="AJ20" s="23" t="str">
        <f t="shared" si="59"/>
        <v/>
      </c>
      <c r="AK20" s="23" t="str">
        <f t="shared" si="59"/>
        <v/>
      </c>
      <c r="AL20" s="23" t="str">
        <f t="shared" si="59"/>
        <v/>
      </c>
      <c r="AM20" s="23" t="str">
        <f t="shared" si="59"/>
        <v/>
      </c>
      <c r="AN20" s="23" t="str">
        <f t="shared" si="59"/>
        <v/>
      </c>
      <c r="AO20" s="23" t="str">
        <f t="shared" si="59"/>
        <v/>
      </c>
      <c r="AP20" s="23" t="str">
        <f t="shared" si="60"/>
        <v/>
      </c>
      <c r="AQ20" s="23" t="str">
        <f t="shared" si="60"/>
        <v/>
      </c>
      <c r="AR20" s="23" t="str">
        <f t="shared" si="60"/>
        <v/>
      </c>
      <c r="AS20" s="23" t="str">
        <f t="shared" si="60"/>
        <v/>
      </c>
      <c r="AT20" s="23">
        <f t="shared" si="60"/>
        <v>2</v>
      </c>
      <c r="AU20" s="23">
        <f t="shared" si="60"/>
        <v>2</v>
      </c>
      <c r="AV20" s="23">
        <f t="shared" si="60"/>
        <v>2</v>
      </c>
      <c r="AW20" s="23" t="str">
        <f t="shared" si="60"/>
        <v/>
      </c>
      <c r="AX20" s="23" t="str">
        <f t="shared" si="60"/>
        <v/>
      </c>
      <c r="AY20" s="23" t="str">
        <f t="shared" si="60"/>
        <v/>
      </c>
      <c r="AZ20" s="23" t="str">
        <f t="shared" si="61"/>
        <v/>
      </c>
      <c r="BA20" s="23" t="str">
        <f t="shared" si="61"/>
        <v/>
      </c>
      <c r="BB20" s="23" t="str">
        <f t="shared" si="61"/>
        <v/>
      </c>
      <c r="BC20" s="23" t="str">
        <f t="shared" si="61"/>
        <v/>
      </c>
      <c r="BD20" s="23" t="str">
        <f t="shared" si="61"/>
        <v/>
      </c>
      <c r="BE20" s="23" t="str">
        <f t="shared" si="61"/>
        <v/>
      </c>
      <c r="BF20" s="23" t="str">
        <f t="shared" si="61"/>
        <v/>
      </c>
      <c r="BG20" s="23" t="str">
        <f t="shared" si="61"/>
        <v/>
      </c>
      <c r="BH20" s="23" t="str">
        <f t="shared" si="61"/>
        <v/>
      </c>
      <c r="BI20" s="23" t="str">
        <f t="shared" si="61"/>
        <v/>
      </c>
      <c r="BJ20" s="23" t="str">
        <f t="shared" si="62"/>
        <v/>
      </c>
      <c r="BK20" s="23" t="str">
        <f t="shared" si="62"/>
        <v/>
      </c>
      <c r="BL20" s="23" t="str">
        <f t="shared" si="62"/>
        <v/>
      </c>
      <c r="BM20" s="23" t="str">
        <f t="shared" si="62"/>
        <v/>
      </c>
      <c r="BN20" s="23" t="str">
        <f t="shared" si="62"/>
        <v/>
      </c>
      <c r="BO20" s="23" t="str">
        <f t="shared" si="62"/>
        <v/>
      </c>
      <c r="BP20" s="23" t="str">
        <f t="shared" si="62"/>
        <v/>
      </c>
      <c r="BQ20" s="23" t="str">
        <f t="shared" si="62"/>
        <v/>
      </c>
      <c r="BR20" s="23" t="str">
        <f t="shared" si="62"/>
        <v/>
      </c>
      <c r="BS20" s="23" t="str">
        <f t="shared" si="62"/>
        <v/>
      </c>
      <c r="BT20" s="23" t="str">
        <f t="shared" si="63"/>
        <v/>
      </c>
      <c r="BU20" s="23" t="str">
        <f t="shared" si="63"/>
        <v/>
      </c>
      <c r="BV20" s="23" t="str">
        <f t="shared" si="63"/>
        <v/>
      </c>
      <c r="BW20" s="23" t="str">
        <f t="shared" si="63"/>
        <v/>
      </c>
      <c r="BX20" s="23" t="str">
        <f t="shared" si="63"/>
        <v/>
      </c>
      <c r="BY20" s="23" t="str">
        <f t="shared" si="63"/>
        <v/>
      </c>
      <c r="BZ20" s="23" t="str">
        <f t="shared" si="63"/>
        <v/>
      </c>
      <c r="CA20" s="23" t="str">
        <f t="shared" si="63"/>
        <v/>
      </c>
      <c r="CB20" s="23" t="str">
        <f t="shared" si="63"/>
        <v/>
      </c>
      <c r="CC20" s="23" t="str">
        <f t="shared" si="63"/>
        <v/>
      </c>
      <c r="CD20" s="23" t="str">
        <f t="shared" si="64"/>
        <v/>
      </c>
      <c r="CE20" s="23" t="str">
        <f t="shared" si="64"/>
        <v/>
      </c>
      <c r="CF20" s="23" t="str">
        <f t="shared" si="64"/>
        <v/>
      </c>
      <c r="CG20" s="23" t="str">
        <f t="shared" si="64"/>
        <v/>
      </c>
      <c r="CH20" s="23" t="str">
        <f t="shared" si="64"/>
        <v/>
      </c>
      <c r="CI20" s="23" t="str">
        <f t="shared" si="64"/>
        <v/>
      </c>
      <c r="CJ20" s="23" t="str">
        <f t="shared" si="64"/>
        <v/>
      </c>
      <c r="CK20" s="23" t="str">
        <f t="shared" si="64"/>
        <v/>
      </c>
      <c r="CL20" s="23" t="str">
        <f t="shared" si="64"/>
        <v/>
      </c>
      <c r="CM20" s="23" t="str">
        <f t="shared" si="64"/>
        <v/>
      </c>
      <c r="CN20" s="23" t="str">
        <f t="shared" si="65"/>
        <v/>
      </c>
      <c r="CO20" s="23" t="str">
        <f t="shared" si="65"/>
        <v/>
      </c>
      <c r="CP20" s="23" t="str">
        <f t="shared" si="65"/>
        <v/>
      </c>
      <c r="CQ20" s="23" t="str">
        <f t="shared" si="65"/>
        <v/>
      </c>
      <c r="CR20" s="23" t="str">
        <f t="shared" si="65"/>
        <v/>
      </c>
      <c r="CS20" s="23" t="str">
        <f t="shared" si="65"/>
        <v/>
      </c>
      <c r="CT20" s="23" t="str">
        <f t="shared" si="65"/>
        <v/>
      </c>
      <c r="CU20" s="23" t="str">
        <f t="shared" si="65"/>
        <v/>
      </c>
      <c r="CV20" s="23" t="str">
        <f t="shared" si="65"/>
        <v/>
      </c>
      <c r="CW20" s="23" t="str">
        <f t="shared" si="65"/>
        <v/>
      </c>
      <c r="CX20" s="23" t="str">
        <f t="shared" si="66"/>
        <v/>
      </c>
      <c r="CY20" s="23" t="str">
        <f t="shared" si="66"/>
        <v/>
      </c>
      <c r="CZ20" s="23" t="str">
        <f t="shared" si="66"/>
        <v/>
      </c>
      <c r="DA20" s="23" t="str">
        <f t="shared" si="66"/>
        <v/>
      </c>
      <c r="DB20" s="23" t="str">
        <f t="shared" si="66"/>
        <v/>
      </c>
      <c r="DC20" s="23" t="str">
        <f t="shared" si="66"/>
        <v/>
      </c>
      <c r="DD20" s="23" t="str">
        <f t="shared" si="66"/>
        <v/>
      </c>
      <c r="DE20" s="23" t="str">
        <f t="shared" si="66"/>
        <v/>
      </c>
      <c r="DF20" s="23" t="str">
        <f t="shared" si="66"/>
        <v/>
      </c>
      <c r="DG20" s="23" t="str">
        <f t="shared" si="66"/>
        <v/>
      </c>
      <c r="DH20" s="23" t="str">
        <f t="shared" si="66"/>
        <v/>
      </c>
      <c r="DI20" s="23" t="str">
        <f t="shared" si="66"/>
        <v/>
      </c>
      <c r="DJ20" s="23" t="str">
        <f t="shared" si="66"/>
        <v/>
      </c>
      <c r="DK20" s="23" t="str">
        <f t="shared" si="66"/>
        <v/>
      </c>
      <c r="DO20" s="61">
        <f t="shared" si="53"/>
        <v>15</v>
      </c>
      <c r="DP20" s="61">
        <f>IF($A20&lt;&gt;"x",$L20*SUMIFS($AF20:$DK20,$AF$4:$DK$4,Jahresscheiben!C$2),0)</f>
        <v>0</v>
      </c>
      <c r="DQ20" s="61">
        <f>IF($A20&lt;&gt;"x",$L20*SUMIFS($AF20:$DK20,$AF$4:$DK$4,Jahresscheiben!D$2),0)</f>
        <v>0</v>
      </c>
      <c r="DR20" s="61">
        <f>IF($A20&lt;&gt;"x",$L20*SUMIFS($AF20:$DK20,$AF$4:$DK$4,Jahresscheiben!E$2),0)</f>
        <v>0</v>
      </c>
      <c r="DS20" s="61">
        <f>IF($A20&lt;&gt;"x",$L20*SUMIFS($AF20:$DK20,$AF$4:$DK$4,Jahresscheiben!F$2),0)</f>
        <v>0</v>
      </c>
      <c r="DT20" s="61">
        <f>IF($A20&lt;&gt;"x",$L20*SUMIFS($AF20:$DK20,$AF$4:$DK$4,Jahresscheiben!G$2),0)</f>
        <v>0</v>
      </c>
      <c r="DU20" s="61">
        <f>IF($A20&lt;&gt;"x",$L20*SUMIFS($AF20:$DK20,$AF$4:$DK$4,Jahresscheiben!H$2),0)</f>
        <v>0</v>
      </c>
      <c r="DV20" s="61">
        <f>IF($A20&lt;&gt;"x",$L20*SUMIFS($AF20:$DK20,$AF$4:$DK$4,Jahresscheiben!I$2),0)</f>
        <v>0</v>
      </c>
      <c r="DW20" s="85"/>
      <c r="DX20" s="61">
        <f t="shared" si="54"/>
        <v>15</v>
      </c>
      <c r="DY20" s="85">
        <f>IF($A20="x",$L20*SUMIFS($AF20:$DK20,$AF$4:$DK$4,Jahresscheiben!C$2)/2,0)</f>
        <v>0</v>
      </c>
      <c r="DZ20" s="85">
        <f>IF($A20="x",$L20*SUMIFS($AF20:$DK20,$AF$4:$DK$4,Jahresscheiben!D$2)/2,0)</f>
        <v>15</v>
      </c>
      <c r="EA20" s="85">
        <f>IF($A20="x",$L20*SUMIFS($AF20:$DK20,$AF$4:$DK$4,Jahresscheiben!E$2)/2,0)</f>
        <v>0</v>
      </c>
      <c r="EB20" s="85">
        <f>IF($A20="x",$L20*SUMIFS($AF20:$DK20,$AF$4:$DK$4,Jahresscheiben!F$2)/2,0)</f>
        <v>0</v>
      </c>
      <c r="EC20" s="85">
        <f>IF($A20="x",$L20*SUMIFS($AF20:$DK20,$AF$4:$DK$4,Jahresscheiben!G$2)/2,0)</f>
        <v>0</v>
      </c>
      <c r="ED20" s="85">
        <f>IF($A20="x",$L20*SUMIFS($AF20:$DK20,$AF$4:$DK$4,Jahresscheiben!H$2)/2,0)</f>
        <v>0</v>
      </c>
      <c r="EE20" s="85">
        <f>IF($A20="x",$L20*SUMIFS($AF20:$DK20,$AF$4:$DK$4,Jahresscheiben!I$2)/2,0)</f>
        <v>0</v>
      </c>
      <c r="EF20" s="85"/>
      <c r="EG20" s="61">
        <f t="shared" si="55"/>
        <v>15</v>
      </c>
      <c r="EH20" s="85" cm="1">
        <f t="array" ref="EH2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0.98638784770171628</v>
      </c>
      <c r="EI20" s="85" cm="1">
        <f t="array" ref="EI2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0.92723492723492718</v>
      </c>
      <c r="EJ20" s="85" cm="1">
        <f t="array" ref="EJ2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</v>
      </c>
      <c r="EK20" s="85" cm="1">
        <f t="array" ref="EK2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20" s="85" cm="1">
        <f t="array" ref="EL2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20" s="85" cm="1">
        <f t="array" ref="EM2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20" s="85" cm="1">
        <f t="array" ref="EN2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20" s="85"/>
      <c r="EQ20" s="61">
        <f t="shared" si="56"/>
        <v>15</v>
      </c>
      <c r="ER20" s="62">
        <f>IF($A20&lt;&gt;"x",$P20*SUMIFS($AF20:$DK20,$AF$4:$DK$4,Jahresscheiben!C$2),0)</f>
        <v>0</v>
      </c>
      <c r="ES20" s="62">
        <f>IF($A20&lt;&gt;"x",$P20*SUMIFS($AF20:$DK20,$AF$4:$DK$4,Jahresscheiben!D$2),0)</f>
        <v>0</v>
      </c>
      <c r="ET20" s="62">
        <f>IF($A20&lt;&gt;"x",$P20*SUMIFS($AF20:$DK20,$AF$4:$DK$4,Jahresscheiben!E$2),0)</f>
        <v>0</v>
      </c>
      <c r="EU20" s="62">
        <f>IF($A20&lt;&gt;"x",$P20*SUMIFS($AF20:$DK20,$AF$4:$DK$4,Jahresscheiben!F$2),0)</f>
        <v>0</v>
      </c>
      <c r="EV20" s="62">
        <f>IF($A20&lt;&gt;"x",$P20*SUMIFS($AF20:$DK20,$AF$4:$DK$4,Jahresscheiben!G$2),0)</f>
        <v>0</v>
      </c>
      <c r="EW20" s="62">
        <f>IF($A20&lt;&gt;"x",$P20*SUMIFS($AF20:$DK20,$AF$4:$DK$4,Jahresscheiben!H$2),0)</f>
        <v>0</v>
      </c>
      <c r="EX20" s="62">
        <f>IF($A20&lt;&gt;"x",$P20*SUMIFS($AF20:$DK20,$AF$4:$DK$4,Jahresscheiben!I$2),0)</f>
        <v>0</v>
      </c>
      <c r="EY20" s="85"/>
      <c r="EZ20" s="61">
        <f t="shared" si="57"/>
        <v>15</v>
      </c>
      <c r="FA20" s="85">
        <f>IF($A20="x",$P20*SUMIFS($AF20:$DK20,$AF$4:$DK$4,Jahresscheiben!C$2)/2,0)</f>
        <v>0</v>
      </c>
      <c r="FB20" s="85">
        <f>IF($A20="x",$P20*SUMIFS($AF20:$DK20,$AF$4:$DK$4,Jahresscheiben!D$2)/2,0)</f>
        <v>15</v>
      </c>
      <c r="FC20" s="85">
        <f>IF($A20="x",$P20*SUMIFS($AF20:$DK20,$AF$4:$DK$4,Jahresscheiben!E$2)/2,0)</f>
        <v>0</v>
      </c>
      <c r="FD20" s="85">
        <f>IF($A20="x",$P20*SUMIFS($AF20:$DK20,$AF$4:$DK$4,Jahresscheiben!F$2)/2,0)</f>
        <v>0</v>
      </c>
      <c r="FE20" s="85">
        <f>IF($A20="x",$P20*SUMIFS($AF20:$DK20,$AF$4:$DK$4,Jahresscheiben!G$2)/2,0)</f>
        <v>0</v>
      </c>
      <c r="FF20" s="85">
        <f>IF($A20="x",$P20*SUMIFS($AF20:$DK20,$AF$4:$DK$4,Jahresscheiben!H$2)/2,0)</f>
        <v>0</v>
      </c>
      <c r="FG20" s="85">
        <f>IF($A20="x",$P20*SUMIFS($AF20:$DK20,$AF$4:$DK$4,Jahresscheiben!I$2)/2,0)</f>
        <v>0</v>
      </c>
      <c r="FH20" s="85"/>
      <c r="FI20" s="61">
        <f t="shared" si="58"/>
        <v>15</v>
      </c>
      <c r="FJ20" s="85" cm="1">
        <f t="array" ref="FJ2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0.98638784770171628</v>
      </c>
      <c r="FK20" s="85" cm="1">
        <f t="array" ref="FK2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0.92723492723492718</v>
      </c>
      <c r="FL20" s="85" cm="1">
        <f t="array" ref="FL2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</v>
      </c>
      <c r="FM20" s="85" cm="1">
        <f t="array" ref="FM2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20" s="85" cm="1">
        <f t="array" ref="FN2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20" s="85" cm="1">
        <f t="array" ref="FO2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20" s="85" cm="1">
        <f t="array" ref="FP2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21" spans="1:172" ht="17" customHeight="1" thickBot="1" x14ac:dyDescent="0.55000000000000004">
      <c r="A21" s="30"/>
      <c r="B21" s="31">
        <f t="shared" si="50"/>
        <v>148</v>
      </c>
      <c r="C21" s="22">
        <f t="shared" si="51"/>
        <v>16</v>
      </c>
      <c r="D21" s="71" t="s">
        <v>66</v>
      </c>
      <c r="E21" s="26"/>
      <c r="F21" s="26">
        <v>15</v>
      </c>
      <c r="G21" s="26">
        <v>26</v>
      </c>
      <c r="H21" s="26"/>
      <c r="I21" s="6">
        <f t="shared" si="40"/>
        <v>46477</v>
      </c>
      <c r="J21" s="6">
        <f t="shared" si="41"/>
        <v>46812</v>
      </c>
      <c r="K21" s="26"/>
      <c r="L21" s="53">
        <v>10</v>
      </c>
      <c r="M21" s="60" cm="1">
        <f t="array" ref="M21" xml:space="preserve">
_xlfn.LET(
_xlpm.Z, _xlfn._xlws.FILTER($DY$6:$EE$65,$DX$6:$DX$65=C21),
_xlpm.Q,_xlfn._xlws.FILTER($DP$6:$DV$65,$DO$6:$DO$65=C21),
IF($A21="x",SUMPRODUCT(_xlpm.Z,$DY$73:$EE$73,EH21:EN21),SUMPRODUCT(_xlpm.Q,$DP$73:$DV$73)))</f>
        <v>0</v>
      </c>
      <c r="N21" s="54" t="str" cm="1">
        <f t="array" ref="N21" xml:space="preserve">
_xlfn.LET(
_xlpm.Z, SUM(IF($A21="x",_xlfn._xlws.FILTER($M$6:$M$65,$A$6:$A$65="x"),_xlfn._xlws.FILTER($M$6:$M$65,$A$6:$A$65&lt;&gt;"x"))),
IF(_xlpm.Z&lt;&gt;0,M21/_xlpm.Z,""))</f>
        <v/>
      </c>
      <c r="O21" s="26"/>
      <c r="P21" s="53">
        <f t="shared" si="52"/>
        <v>10</v>
      </c>
      <c r="Q21" s="60" cm="1">
        <f t="array" ref="Q21" xml:space="preserve">
_xlfn.LET(
_xlpm.Z, _xlfn._xlws.FILTER($FA$6:$FG$65,$EZ$6:$EZ$65=C21),
_xlpm.Q,_xlfn._xlws.FILTER($ER$6:$EX$65,$EQ$6:$EQ$65=C21),
IF($A21="x",SUMPRODUCT(_xlpm.Z,$FA$73:$FG$73,FJ21:FP21),SUMPRODUCT(_xlpm.Q,$ER$73:$EX$73)))</f>
        <v>0</v>
      </c>
      <c r="R21" s="54" t="str" cm="1">
        <f t="array" ref="R21" xml:space="preserve">
_xlfn.LET(
_xlpm.Z, SUM(IF($A21="x",_xlfn._xlws.FILTER($Q$6:$Q$65,$A$6:$A$65="x"),_xlfn._xlws.FILTER($Q$6:$Q$65,$A$6:$A$65&lt;&gt;"x"))),
IF(_xlpm.Z&lt;&gt;0,Q21/_xlpm.Z,""))</f>
        <v/>
      </c>
      <c r="S21" s="26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8"/>
      <c r="AE21" s="28"/>
      <c r="AF21" s="23" t="str">
        <f t="shared" si="59"/>
        <v/>
      </c>
      <c r="AG21" s="23" t="str">
        <f t="shared" si="59"/>
        <v/>
      </c>
      <c r="AH21" s="23" t="str">
        <f t="shared" si="59"/>
        <v/>
      </c>
      <c r="AI21" s="23" t="str">
        <f t="shared" si="59"/>
        <v/>
      </c>
      <c r="AJ21" s="23" t="str">
        <f t="shared" si="59"/>
        <v/>
      </c>
      <c r="AK21" s="23" t="str">
        <f t="shared" si="59"/>
        <v/>
      </c>
      <c r="AL21" s="23" t="str">
        <f t="shared" si="59"/>
        <v/>
      </c>
      <c r="AM21" s="23" t="str">
        <f t="shared" si="59"/>
        <v/>
      </c>
      <c r="AN21" s="23" t="str">
        <f t="shared" si="59"/>
        <v/>
      </c>
      <c r="AO21" s="23" t="str">
        <f t="shared" si="59"/>
        <v/>
      </c>
      <c r="AP21" s="23" t="str">
        <f t="shared" si="60"/>
        <v/>
      </c>
      <c r="AQ21" s="23" t="str">
        <f t="shared" si="60"/>
        <v/>
      </c>
      <c r="AR21" s="23" t="str">
        <f t="shared" si="60"/>
        <v/>
      </c>
      <c r="AS21" s="23" t="str">
        <f t="shared" si="60"/>
        <v/>
      </c>
      <c r="AT21" s="23">
        <f t="shared" si="60"/>
        <v>1</v>
      </c>
      <c r="AU21" s="23">
        <f t="shared" si="60"/>
        <v>1</v>
      </c>
      <c r="AV21" s="23">
        <f t="shared" si="60"/>
        <v>1</v>
      </c>
      <c r="AW21" s="23">
        <f t="shared" si="60"/>
        <v>1</v>
      </c>
      <c r="AX21" s="23">
        <f t="shared" si="60"/>
        <v>1</v>
      </c>
      <c r="AY21" s="23">
        <f t="shared" si="60"/>
        <v>1</v>
      </c>
      <c r="AZ21" s="23">
        <f t="shared" si="61"/>
        <v>1</v>
      </c>
      <c r="BA21" s="23">
        <f t="shared" si="61"/>
        <v>1</v>
      </c>
      <c r="BB21" s="23">
        <f t="shared" si="61"/>
        <v>1</v>
      </c>
      <c r="BC21" s="23">
        <f t="shared" si="61"/>
        <v>1</v>
      </c>
      <c r="BD21" s="23">
        <f t="shared" si="61"/>
        <v>1</v>
      </c>
      <c r="BE21" s="23">
        <f t="shared" si="61"/>
        <v>1</v>
      </c>
      <c r="BF21" s="23" t="str">
        <f t="shared" si="61"/>
        <v/>
      </c>
      <c r="BG21" s="23" t="str">
        <f t="shared" si="61"/>
        <v/>
      </c>
      <c r="BH21" s="23" t="str">
        <f t="shared" si="61"/>
        <v/>
      </c>
      <c r="BI21" s="23" t="str">
        <f t="shared" si="61"/>
        <v/>
      </c>
      <c r="BJ21" s="23" t="str">
        <f t="shared" si="62"/>
        <v/>
      </c>
      <c r="BK21" s="23" t="str">
        <f t="shared" si="62"/>
        <v/>
      </c>
      <c r="BL21" s="23" t="str">
        <f t="shared" si="62"/>
        <v/>
      </c>
      <c r="BM21" s="23" t="str">
        <f t="shared" si="62"/>
        <v/>
      </c>
      <c r="BN21" s="23" t="str">
        <f t="shared" si="62"/>
        <v/>
      </c>
      <c r="BO21" s="23" t="str">
        <f t="shared" si="62"/>
        <v/>
      </c>
      <c r="BP21" s="23" t="str">
        <f t="shared" si="62"/>
        <v/>
      </c>
      <c r="BQ21" s="23" t="str">
        <f t="shared" si="62"/>
        <v/>
      </c>
      <c r="BR21" s="23" t="str">
        <f t="shared" si="62"/>
        <v/>
      </c>
      <c r="BS21" s="23" t="str">
        <f t="shared" si="62"/>
        <v/>
      </c>
      <c r="BT21" s="23" t="str">
        <f t="shared" si="63"/>
        <v/>
      </c>
      <c r="BU21" s="23" t="str">
        <f t="shared" si="63"/>
        <v/>
      </c>
      <c r="BV21" s="23" t="str">
        <f t="shared" si="63"/>
        <v/>
      </c>
      <c r="BW21" s="23" t="str">
        <f t="shared" si="63"/>
        <v/>
      </c>
      <c r="BX21" s="23" t="str">
        <f t="shared" si="63"/>
        <v/>
      </c>
      <c r="BY21" s="23" t="str">
        <f t="shared" si="63"/>
        <v/>
      </c>
      <c r="BZ21" s="23" t="str">
        <f t="shared" si="63"/>
        <v/>
      </c>
      <c r="CA21" s="23" t="str">
        <f t="shared" si="63"/>
        <v/>
      </c>
      <c r="CB21" s="23" t="str">
        <f t="shared" si="63"/>
        <v/>
      </c>
      <c r="CC21" s="23" t="str">
        <f t="shared" si="63"/>
        <v/>
      </c>
      <c r="CD21" s="23" t="str">
        <f t="shared" si="64"/>
        <v/>
      </c>
      <c r="CE21" s="23" t="str">
        <f t="shared" si="64"/>
        <v/>
      </c>
      <c r="CF21" s="23" t="str">
        <f t="shared" si="64"/>
        <v/>
      </c>
      <c r="CG21" s="23" t="str">
        <f t="shared" si="64"/>
        <v/>
      </c>
      <c r="CH21" s="23" t="str">
        <f t="shared" si="64"/>
        <v/>
      </c>
      <c r="CI21" s="23" t="str">
        <f t="shared" si="64"/>
        <v/>
      </c>
      <c r="CJ21" s="23" t="str">
        <f t="shared" si="64"/>
        <v/>
      </c>
      <c r="CK21" s="23" t="str">
        <f t="shared" si="64"/>
        <v/>
      </c>
      <c r="CL21" s="23" t="str">
        <f t="shared" si="64"/>
        <v/>
      </c>
      <c r="CM21" s="23" t="str">
        <f t="shared" si="64"/>
        <v/>
      </c>
      <c r="CN21" s="23" t="str">
        <f t="shared" si="65"/>
        <v/>
      </c>
      <c r="CO21" s="23" t="str">
        <f t="shared" si="65"/>
        <v/>
      </c>
      <c r="CP21" s="23" t="str">
        <f t="shared" si="65"/>
        <v/>
      </c>
      <c r="CQ21" s="23" t="str">
        <f t="shared" si="65"/>
        <v/>
      </c>
      <c r="CR21" s="23" t="str">
        <f t="shared" si="65"/>
        <v/>
      </c>
      <c r="CS21" s="23" t="str">
        <f t="shared" si="65"/>
        <v/>
      </c>
      <c r="CT21" s="23" t="str">
        <f t="shared" si="65"/>
        <v/>
      </c>
      <c r="CU21" s="23" t="str">
        <f t="shared" si="65"/>
        <v/>
      </c>
      <c r="CV21" s="23" t="str">
        <f t="shared" si="65"/>
        <v/>
      </c>
      <c r="CW21" s="23" t="str">
        <f t="shared" si="65"/>
        <v/>
      </c>
      <c r="CX21" s="23" t="str">
        <f t="shared" si="66"/>
        <v/>
      </c>
      <c r="CY21" s="23" t="str">
        <f t="shared" si="66"/>
        <v/>
      </c>
      <c r="CZ21" s="23" t="str">
        <f t="shared" si="66"/>
        <v/>
      </c>
      <c r="DA21" s="23" t="str">
        <f t="shared" si="66"/>
        <v/>
      </c>
      <c r="DB21" s="23" t="str">
        <f t="shared" si="66"/>
        <v/>
      </c>
      <c r="DC21" s="23" t="str">
        <f t="shared" si="66"/>
        <v/>
      </c>
      <c r="DD21" s="23" t="str">
        <f t="shared" si="66"/>
        <v/>
      </c>
      <c r="DE21" s="23" t="str">
        <f t="shared" si="66"/>
        <v/>
      </c>
      <c r="DF21" s="23" t="str">
        <f t="shared" si="66"/>
        <v/>
      </c>
      <c r="DG21" s="23" t="str">
        <f t="shared" si="66"/>
        <v/>
      </c>
      <c r="DH21" s="23" t="str">
        <f t="shared" si="66"/>
        <v/>
      </c>
      <c r="DI21" s="23" t="str">
        <f t="shared" si="66"/>
        <v/>
      </c>
      <c r="DJ21" s="23" t="str">
        <f t="shared" si="66"/>
        <v/>
      </c>
      <c r="DK21" s="23" t="str">
        <f t="shared" si="66"/>
        <v/>
      </c>
      <c r="DO21" s="61">
        <f t="shared" si="53"/>
        <v>16</v>
      </c>
      <c r="DP21" s="61">
        <f>IF($A21&lt;&gt;"x",$L21*SUMIFS($AF21:$DK21,$AF$4:$DK$4,Jahresscheiben!C$2),0)</f>
        <v>0</v>
      </c>
      <c r="DQ21" s="61">
        <f>IF($A21&lt;&gt;"x",$L21*SUMIFS($AF21:$DK21,$AF$4:$DK$4,Jahresscheiben!D$2),0)</f>
        <v>100</v>
      </c>
      <c r="DR21" s="61">
        <f>IF($A21&lt;&gt;"x",$L21*SUMIFS($AF21:$DK21,$AF$4:$DK$4,Jahresscheiben!E$2),0)</f>
        <v>20</v>
      </c>
      <c r="DS21" s="61">
        <f>IF($A21&lt;&gt;"x",$L21*SUMIFS($AF21:$DK21,$AF$4:$DK$4,Jahresscheiben!F$2),0)</f>
        <v>0</v>
      </c>
      <c r="DT21" s="61">
        <f>IF($A21&lt;&gt;"x",$L21*SUMIFS($AF21:$DK21,$AF$4:$DK$4,Jahresscheiben!G$2),0)</f>
        <v>0</v>
      </c>
      <c r="DU21" s="61">
        <f>IF($A21&lt;&gt;"x",$L21*SUMIFS($AF21:$DK21,$AF$4:$DK$4,Jahresscheiben!H$2),0)</f>
        <v>0</v>
      </c>
      <c r="DV21" s="61">
        <f>IF($A21&lt;&gt;"x",$L21*SUMIFS($AF21:$DK21,$AF$4:$DK$4,Jahresscheiben!I$2),0)</f>
        <v>0</v>
      </c>
      <c r="DW21" s="85"/>
      <c r="DX21" s="61">
        <f t="shared" si="54"/>
        <v>16</v>
      </c>
      <c r="DY21" s="85">
        <f>IF($A21="x",$L21*SUMIFS($AF21:$DK21,$AF$4:$DK$4,Jahresscheiben!C$2)/2,0)</f>
        <v>0</v>
      </c>
      <c r="DZ21" s="85">
        <f>IF($A21="x",$L21*SUMIFS($AF21:$DK21,$AF$4:$DK$4,Jahresscheiben!D$2)/2,0)</f>
        <v>0</v>
      </c>
      <c r="EA21" s="85">
        <f>IF($A21="x",$L21*SUMIFS($AF21:$DK21,$AF$4:$DK$4,Jahresscheiben!E$2)/2,0)</f>
        <v>0</v>
      </c>
      <c r="EB21" s="85">
        <f>IF($A21="x",$L21*SUMIFS($AF21:$DK21,$AF$4:$DK$4,Jahresscheiben!F$2)/2,0)</f>
        <v>0</v>
      </c>
      <c r="EC21" s="85">
        <f>IF($A21="x",$L21*SUMIFS($AF21:$DK21,$AF$4:$DK$4,Jahresscheiben!G$2)/2,0)</f>
        <v>0</v>
      </c>
      <c r="ED21" s="85">
        <f>IF($A21="x",$L21*SUMIFS($AF21:$DK21,$AF$4:$DK$4,Jahresscheiben!H$2)/2,0)</f>
        <v>0</v>
      </c>
      <c r="EE21" s="85">
        <f>IF($A21="x",$L21*SUMIFS($AF21:$DK21,$AF$4:$DK$4,Jahresscheiben!I$2)/2,0)</f>
        <v>0</v>
      </c>
      <c r="EF21" s="85"/>
      <c r="EG21" s="61">
        <f t="shared" si="55"/>
        <v>16</v>
      </c>
      <c r="EH21" s="85" cm="1">
        <f t="array" ref="EH2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21" s="85" cm="1">
        <f t="array" ref="EI2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0</v>
      </c>
      <c r="EJ21" s="85" cm="1">
        <f t="array" ref="EJ2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</v>
      </c>
      <c r="EK21" s="85" cm="1">
        <f t="array" ref="EK2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21" s="85" cm="1">
        <f t="array" ref="EL2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21" s="85" cm="1">
        <f t="array" ref="EM2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21" s="85" cm="1">
        <f t="array" ref="EN2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21" s="85"/>
      <c r="EQ21" s="61">
        <f t="shared" si="56"/>
        <v>16</v>
      </c>
      <c r="ER21" s="62">
        <f>IF($A21&lt;&gt;"x",$P21*SUMIFS($AF21:$DK21,$AF$4:$DK$4,Jahresscheiben!C$2),0)</f>
        <v>0</v>
      </c>
      <c r="ES21" s="62">
        <f>IF($A21&lt;&gt;"x",$P21*SUMIFS($AF21:$DK21,$AF$4:$DK$4,Jahresscheiben!D$2),0)</f>
        <v>100</v>
      </c>
      <c r="ET21" s="62">
        <f>IF($A21&lt;&gt;"x",$P21*SUMIFS($AF21:$DK21,$AF$4:$DK$4,Jahresscheiben!E$2),0)</f>
        <v>20</v>
      </c>
      <c r="EU21" s="62">
        <f>IF($A21&lt;&gt;"x",$P21*SUMIFS($AF21:$DK21,$AF$4:$DK$4,Jahresscheiben!F$2),0)</f>
        <v>0</v>
      </c>
      <c r="EV21" s="62">
        <f>IF($A21&lt;&gt;"x",$P21*SUMIFS($AF21:$DK21,$AF$4:$DK$4,Jahresscheiben!G$2),0)</f>
        <v>0</v>
      </c>
      <c r="EW21" s="62">
        <f>IF($A21&lt;&gt;"x",$P21*SUMIFS($AF21:$DK21,$AF$4:$DK$4,Jahresscheiben!H$2),0)</f>
        <v>0</v>
      </c>
      <c r="EX21" s="62">
        <f>IF($A21&lt;&gt;"x",$P21*SUMIFS($AF21:$DK21,$AF$4:$DK$4,Jahresscheiben!I$2),0)</f>
        <v>0</v>
      </c>
      <c r="EY21" s="85"/>
      <c r="EZ21" s="61">
        <f t="shared" si="57"/>
        <v>16</v>
      </c>
      <c r="FA21" s="85">
        <f>IF($A21="x",$P21*SUMIFS($AF21:$DK21,$AF$4:$DK$4,Jahresscheiben!C$2)/2,0)</f>
        <v>0</v>
      </c>
      <c r="FB21" s="85">
        <f>IF($A21="x",$P21*SUMIFS($AF21:$DK21,$AF$4:$DK$4,Jahresscheiben!D$2)/2,0)</f>
        <v>0</v>
      </c>
      <c r="FC21" s="85">
        <f>IF($A21="x",$P21*SUMIFS($AF21:$DK21,$AF$4:$DK$4,Jahresscheiben!E$2)/2,0)</f>
        <v>0</v>
      </c>
      <c r="FD21" s="85">
        <f>IF($A21="x",$P21*SUMIFS($AF21:$DK21,$AF$4:$DK$4,Jahresscheiben!F$2)/2,0)</f>
        <v>0</v>
      </c>
      <c r="FE21" s="85">
        <f>IF($A21="x",$P21*SUMIFS($AF21:$DK21,$AF$4:$DK$4,Jahresscheiben!G$2)/2,0)</f>
        <v>0</v>
      </c>
      <c r="FF21" s="85">
        <f>IF($A21="x",$P21*SUMIFS($AF21:$DK21,$AF$4:$DK$4,Jahresscheiben!H$2)/2,0)</f>
        <v>0</v>
      </c>
      <c r="FG21" s="85">
        <f>IF($A21="x",$P21*SUMIFS($AF21:$DK21,$AF$4:$DK$4,Jahresscheiben!I$2)/2,0)</f>
        <v>0</v>
      </c>
      <c r="FH21" s="85"/>
      <c r="FI21" s="61">
        <f t="shared" si="58"/>
        <v>16</v>
      </c>
      <c r="FJ21" s="85" cm="1">
        <f t="array" ref="FJ2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21" s="85" cm="1">
        <f t="array" ref="FK2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0</v>
      </c>
      <c r="FL21" s="85" cm="1">
        <f t="array" ref="FL2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</v>
      </c>
      <c r="FM21" s="85" cm="1">
        <f t="array" ref="FM2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21" s="85" cm="1">
        <f t="array" ref="FN2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21" s="85" cm="1">
        <f t="array" ref="FO2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21" s="85" cm="1">
        <f t="array" ref="FP2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22" spans="1:172" ht="17" customHeight="1" thickBot="1" x14ac:dyDescent="0.55000000000000004">
      <c r="A22" s="29" t="s">
        <v>24</v>
      </c>
      <c r="B22" s="31">
        <f t="shared" si="50"/>
        <v>149</v>
      </c>
      <c r="C22" s="22">
        <f t="shared" si="51"/>
        <v>17</v>
      </c>
      <c r="D22" s="71" t="s">
        <v>74</v>
      </c>
      <c r="E22" s="7"/>
      <c r="F22" s="7">
        <v>15</v>
      </c>
      <c r="G22" s="7">
        <v>18</v>
      </c>
      <c r="H22" s="7"/>
      <c r="I22" s="6">
        <f t="shared" si="40"/>
        <v>46477</v>
      </c>
      <c r="J22" s="6">
        <f t="shared" si="41"/>
        <v>46568</v>
      </c>
      <c r="K22" s="7"/>
      <c r="L22" s="53">
        <v>9</v>
      </c>
      <c r="M22" s="60" cm="1">
        <f t="array" ref="M22" xml:space="preserve">
_xlfn.LET(
_xlpm.Z, _xlfn._xlws.FILTER($DY$6:$EE$65,$DX$6:$DX$65=C22),
_xlpm.Q,_xlfn._xlws.FILTER($DP$6:$DV$65,$DO$6:$DO$65=C22),
IF($A22="x",SUMPRODUCT(_xlpm.Z,$DY$73:$EE$73,EH22:EN22),SUMPRODUCT(_xlpm.Q,$DP$73:$DV$73)))</f>
        <v>0</v>
      </c>
      <c r="N22" s="54" t="str" cm="1">
        <f t="array" ref="N22" xml:space="preserve">
_xlfn.LET(
_xlpm.Z, SUM(IF($A22="x",_xlfn._xlws.FILTER($M$6:$M$65,$A$6:$A$65="x"),_xlfn._xlws.FILTER($M$6:$M$65,$A$6:$A$65&lt;&gt;"x"))),
IF(_xlpm.Z&lt;&gt;0,M22/_xlpm.Z,""))</f>
        <v/>
      </c>
      <c r="O22" s="7"/>
      <c r="P22" s="53">
        <f t="shared" si="52"/>
        <v>9</v>
      </c>
      <c r="Q22" s="60" cm="1">
        <f t="array" ref="Q22" xml:space="preserve">
_xlfn.LET(
_xlpm.Z, _xlfn._xlws.FILTER($FA$6:$FG$65,$EZ$6:$EZ$65=C22),
_xlpm.Q,_xlfn._xlws.FILTER($ER$6:$EX$65,$EQ$6:$EQ$65=C22),
IF($A22="x",SUMPRODUCT(_xlpm.Z,$FA$73:$FG$73,FJ22:FP22),SUMPRODUCT(_xlpm.Q,$ER$73:$EX$73)))</f>
        <v>0</v>
      </c>
      <c r="R22" s="54" t="str" cm="1">
        <f t="array" ref="R22" xml:space="preserve">
_xlfn.LET(
_xlpm.Z, SUM(IF($A22="x",_xlfn._xlws.FILTER($Q$6:$Q$65,$A$6:$A$65="x"),_xlfn._xlws.FILTER($Q$6:$Q$65,$A$6:$A$65&lt;&gt;"x"))),
IF(_xlpm.Z&lt;&gt;0,Q22/_xlpm.Z,""))</f>
        <v/>
      </c>
      <c r="S22" s="7"/>
      <c r="T22" s="6"/>
      <c r="U22" s="6"/>
      <c r="V22" s="6"/>
      <c r="W22" s="6"/>
      <c r="X22" s="6"/>
      <c r="Y22" s="6"/>
      <c r="Z22" s="6"/>
      <c r="AA22" s="6"/>
      <c r="AB22" s="6"/>
      <c r="AC22" s="6"/>
      <c r="AD22" s="7"/>
      <c r="AE22" s="7"/>
      <c r="AF22" s="23" t="str">
        <f t="shared" si="59"/>
        <v/>
      </c>
      <c r="AG22" s="23" t="str">
        <f t="shared" si="59"/>
        <v/>
      </c>
      <c r="AH22" s="23" t="str">
        <f t="shared" si="59"/>
        <v/>
      </c>
      <c r="AI22" s="23" t="str">
        <f t="shared" si="59"/>
        <v/>
      </c>
      <c r="AJ22" s="23" t="str">
        <f t="shared" si="59"/>
        <v/>
      </c>
      <c r="AK22" s="23" t="str">
        <f t="shared" si="59"/>
        <v/>
      </c>
      <c r="AL22" s="23" t="str">
        <f t="shared" si="59"/>
        <v/>
      </c>
      <c r="AM22" s="23" t="str">
        <f t="shared" si="59"/>
        <v/>
      </c>
      <c r="AN22" s="23" t="str">
        <f t="shared" si="59"/>
        <v/>
      </c>
      <c r="AO22" s="23" t="str">
        <f t="shared" si="59"/>
        <v/>
      </c>
      <c r="AP22" s="23" t="str">
        <f t="shared" si="60"/>
        <v/>
      </c>
      <c r="AQ22" s="23" t="str">
        <f t="shared" si="60"/>
        <v/>
      </c>
      <c r="AR22" s="23" t="str">
        <f t="shared" si="60"/>
        <v/>
      </c>
      <c r="AS22" s="23" t="str">
        <f t="shared" si="60"/>
        <v/>
      </c>
      <c r="AT22" s="23">
        <f t="shared" si="60"/>
        <v>2</v>
      </c>
      <c r="AU22" s="23">
        <f t="shared" si="60"/>
        <v>2</v>
      </c>
      <c r="AV22" s="23">
        <f t="shared" si="60"/>
        <v>2</v>
      </c>
      <c r="AW22" s="23">
        <f t="shared" si="60"/>
        <v>2</v>
      </c>
      <c r="AX22" s="23" t="str">
        <f t="shared" si="60"/>
        <v/>
      </c>
      <c r="AY22" s="23" t="str">
        <f t="shared" si="60"/>
        <v/>
      </c>
      <c r="AZ22" s="23" t="str">
        <f t="shared" si="61"/>
        <v/>
      </c>
      <c r="BA22" s="23" t="str">
        <f t="shared" si="61"/>
        <v/>
      </c>
      <c r="BB22" s="23" t="str">
        <f t="shared" si="61"/>
        <v/>
      </c>
      <c r="BC22" s="23" t="str">
        <f t="shared" si="61"/>
        <v/>
      </c>
      <c r="BD22" s="23" t="str">
        <f t="shared" si="61"/>
        <v/>
      </c>
      <c r="BE22" s="23" t="str">
        <f t="shared" si="61"/>
        <v/>
      </c>
      <c r="BF22" s="23" t="str">
        <f t="shared" si="61"/>
        <v/>
      </c>
      <c r="BG22" s="23" t="str">
        <f t="shared" si="61"/>
        <v/>
      </c>
      <c r="BH22" s="23" t="str">
        <f t="shared" si="61"/>
        <v/>
      </c>
      <c r="BI22" s="23" t="str">
        <f t="shared" si="61"/>
        <v/>
      </c>
      <c r="BJ22" s="23" t="str">
        <f t="shared" si="62"/>
        <v/>
      </c>
      <c r="BK22" s="23" t="str">
        <f t="shared" si="62"/>
        <v/>
      </c>
      <c r="BL22" s="23" t="str">
        <f t="shared" si="62"/>
        <v/>
      </c>
      <c r="BM22" s="23" t="str">
        <f t="shared" si="62"/>
        <v/>
      </c>
      <c r="BN22" s="23" t="str">
        <f t="shared" si="62"/>
        <v/>
      </c>
      <c r="BO22" s="23" t="str">
        <f t="shared" si="62"/>
        <v/>
      </c>
      <c r="BP22" s="23" t="str">
        <f t="shared" si="62"/>
        <v/>
      </c>
      <c r="BQ22" s="23" t="str">
        <f t="shared" si="62"/>
        <v/>
      </c>
      <c r="BR22" s="23" t="str">
        <f t="shared" si="62"/>
        <v/>
      </c>
      <c r="BS22" s="23" t="str">
        <f t="shared" si="62"/>
        <v/>
      </c>
      <c r="BT22" s="23" t="str">
        <f t="shared" si="63"/>
        <v/>
      </c>
      <c r="BU22" s="23" t="str">
        <f t="shared" si="63"/>
        <v/>
      </c>
      <c r="BV22" s="23" t="str">
        <f t="shared" si="63"/>
        <v/>
      </c>
      <c r="BW22" s="23" t="str">
        <f t="shared" si="63"/>
        <v/>
      </c>
      <c r="BX22" s="23" t="str">
        <f t="shared" si="63"/>
        <v/>
      </c>
      <c r="BY22" s="23" t="str">
        <f t="shared" si="63"/>
        <v/>
      </c>
      <c r="BZ22" s="23" t="str">
        <f t="shared" si="63"/>
        <v/>
      </c>
      <c r="CA22" s="23" t="str">
        <f t="shared" si="63"/>
        <v/>
      </c>
      <c r="CB22" s="23" t="str">
        <f t="shared" si="63"/>
        <v/>
      </c>
      <c r="CC22" s="23" t="str">
        <f t="shared" si="63"/>
        <v/>
      </c>
      <c r="CD22" s="23" t="str">
        <f t="shared" si="64"/>
        <v/>
      </c>
      <c r="CE22" s="23" t="str">
        <f t="shared" si="64"/>
        <v/>
      </c>
      <c r="CF22" s="23" t="str">
        <f t="shared" si="64"/>
        <v/>
      </c>
      <c r="CG22" s="23" t="str">
        <f t="shared" si="64"/>
        <v/>
      </c>
      <c r="CH22" s="23" t="str">
        <f t="shared" si="64"/>
        <v/>
      </c>
      <c r="CI22" s="23" t="str">
        <f t="shared" si="64"/>
        <v/>
      </c>
      <c r="CJ22" s="23" t="str">
        <f t="shared" si="64"/>
        <v/>
      </c>
      <c r="CK22" s="23" t="str">
        <f t="shared" si="64"/>
        <v/>
      </c>
      <c r="CL22" s="23" t="str">
        <f t="shared" si="64"/>
        <v/>
      </c>
      <c r="CM22" s="23" t="str">
        <f t="shared" si="64"/>
        <v/>
      </c>
      <c r="CN22" s="23" t="str">
        <f t="shared" si="65"/>
        <v/>
      </c>
      <c r="CO22" s="23" t="str">
        <f t="shared" si="65"/>
        <v/>
      </c>
      <c r="CP22" s="23" t="str">
        <f t="shared" si="65"/>
        <v/>
      </c>
      <c r="CQ22" s="23" t="str">
        <f t="shared" si="65"/>
        <v/>
      </c>
      <c r="CR22" s="23" t="str">
        <f t="shared" si="65"/>
        <v/>
      </c>
      <c r="CS22" s="23" t="str">
        <f t="shared" si="65"/>
        <v/>
      </c>
      <c r="CT22" s="23" t="str">
        <f t="shared" si="65"/>
        <v/>
      </c>
      <c r="CU22" s="23" t="str">
        <f t="shared" si="65"/>
        <v/>
      </c>
      <c r="CV22" s="23" t="str">
        <f t="shared" si="65"/>
        <v/>
      </c>
      <c r="CW22" s="23" t="str">
        <f t="shared" si="65"/>
        <v/>
      </c>
      <c r="CX22" s="23" t="str">
        <f t="shared" si="66"/>
        <v/>
      </c>
      <c r="CY22" s="23" t="str">
        <f t="shared" si="66"/>
        <v/>
      </c>
      <c r="CZ22" s="23" t="str">
        <f t="shared" si="66"/>
        <v/>
      </c>
      <c r="DA22" s="23" t="str">
        <f t="shared" si="66"/>
        <v/>
      </c>
      <c r="DB22" s="23" t="str">
        <f t="shared" si="66"/>
        <v/>
      </c>
      <c r="DC22" s="23" t="str">
        <f t="shared" si="66"/>
        <v/>
      </c>
      <c r="DD22" s="23" t="str">
        <f t="shared" si="66"/>
        <v/>
      </c>
      <c r="DE22" s="23" t="str">
        <f t="shared" si="66"/>
        <v/>
      </c>
      <c r="DF22" s="23" t="str">
        <f t="shared" si="66"/>
        <v/>
      </c>
      <c r="DG22" s="23" t="str">
        <f t="shared" si="66"/>
        <v/>
      </c>
      <c r="DH22" s="23" t="str">
        <f t="shared" si="66"/>
        <v/>
      </c>
      <c r="DI22" s="23" t="str">
        <f t="shared" si="66"/>
        <v/>
      </c>
      <c r="DJ22" s="23" t="str">
        <f t="shared" si="66"/>
        <v/>
      </c>
      <c r="DK22" s="23" t="str">
        <f t="shared" si="66"/>
        <v/>
      </c>
      <c r="DO22" s="61">
        <f t="shared" si="53"/>
        <v>17</v>
      </c>
      <c r="DP22" s="61">
        <f>IF($A22&lt;&gt;"x",$L22*SUMIFS($AF22:$DK22,$AF$4:$DK$4,Jahresscheiben!C$2),0)</f>
        <v>0</v>
      </c>
      <c r="DQ22" s="61">
        <f>IF($A22&lt;&gt;"x",$L22*SUMIFS($AF22:$DK22,$AF$4:$DK$4,Jahresscheiben!D$2),0)</f>
        <v>0</v>
      </c>
      <c r="DR22" s="61">
        <f>IF($A22&lt;&gt;"x",$L22*SUMIFS($AF22:$DK22,$AF$4:$DK$4,Jahresscheiben!E$2),0)</f>
        <v>0</v>
      </c>
      <c r="DS22" s="61">
        <f>IF($A22&lt;&gt;"x",$L22*SUMIFS($AF22:$DK22,$AF$4:$DK$4,Jahresscheiben!F$2),0)</f>
        <v>0</v>
      </c>
      <c r="DT22" s="61">
        <f>IF($A22&lt;&gt;"x",$L22*SUMIFS($AF22:$DK22,$AF$4:$DK$4,Jahresscheiben!G$2),0)</f>
        <v>0</v>
      </c>
      <c r="DU22" s="61">
        <f>IF($A22&lt;&gt;"x",$L22*SUMIFS($AF22:$DK22,$AF$4:$DK$4,Jahresscheiben!H$2),0)</f>
        <v>0</v>
      </c>
      <c r="DV22" s="61">
        <f>IF($A22&lt;&gt;"x",$L22*SUMIFS($AF22:$DK22,$AF$4:$DK$4,Jahresscheiben!I$2),0)</f>
        <v>0</v>
      </c>
      <c r="DW22" s="85"/>
      <c r="DX22" s="61">
        <f t="shared" si="54"/>
        <v>17</v>
      </c>
      <c r="DY22" s="85">
        <f>IF($A22="x",$L22*SUMIFS($AF22:$DK22,$AF$4:$DK$4,Jahresscheiben!C$2)/2,0)</f>
        <v>0</v>
      </c>
      <c r="DZ22" s="85">
        <f>IF($A22="x",$L22*SUMIFS($AF22:$DK22,$AF$4:$DK$4,Jahresscheiben!D$2)/2,0)</f>
        <v>36</v>
      </c>
      <c r="EA22" s="85">
        <f>IF($A22="x",$L22*SUMIFS($AF22:$DK22,$AF$4:$DK$4,Jahresscheiben!E$2)/2,0)</f>
        <v>0</v>
      </c>
      <c r="EB22" s="85">
        <f>IF($A22="x",$L22*SUMIFS($AF22:$DK22,$AF$4:$DK$4,Jahresscheiben!F$2)/2,0)</f>
        <v>0</v>
      </c>
      <c r="EC22" s="85">
        <f>IF($A22="x",$L22*SUMIFS($AF22:$DK22,$AF$4:$DK$4,Jahresscheiben!G$2)/2,0)</f>
        <v>0</v>
      </c>
      <c r="ED22" s="85">
        <f>IF($A22="x",$L22*SUMIFS($AF22:$DK22,$AF$4:$DK$4,Jahresscheiben!H$2)/2,0)</f>
        <v>0</v>
      </c>
      <c r="EE22" s="85">
        <f>IF($A22="x",$L22*SUMIFS($AF22:$DK22,$AF$4:$DK$4,Jahresscheiben!I$2)/2,0)</f>
        <v>0</v>
      </c>
      <c r="EF22" s="85"/>
      <c r="EG22" s="61">
        <f t="shared" si="55"/>
        <v>17</v>
      </c>
      <c r="EH22" s="85" cm="1">
        <f t="array" ref="EH2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22" s="85" cm="1">
        <f t="array" ref="EI2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1.0045045045045047</v>
      </c>
      <c r="EJ22" s="85" cm="1">
        <f t="array" ref="EJ2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1.5438871473354232</v>
      </c>
      <c r="EK22" s="85" cm="1">
        <f t="array" ref="EK2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22" s="85" cm="1">
        <f t="array" ref="EL2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22" s="85" cm="1">
        <f t="array" ref="EM2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22" s="85" cm="1">
        <f t="array" ref="EN2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22" s="85"/>
      <c r="EQ22" s="61">
        <f t="shared" si="56"/>
        <v>17</v>
      </c>
      <c r="ER22" s="62">
        <f>IF($A22&lt;&gt;"x",$P22*SUMIFS($AF22:$DK22,$AF$4:$DK$4,Jahresscheiben!C$2),0)</f>
        <v>0</v>
      </c>
      <c r="ES22" s="62">
        <f>IF($A22&lt;&gt;"x",$P22*SUMIFS($AF22:$DK22,$AF$4:$DK$4,Jahresscheiben!D$2),0)</f>
        <v>0</v>
      </c>
      <c r="ET22" s="62">
        <f>IF($A22&lt;&gt;"x",$P22*SUMIFS($AF22:$DK22,$AF$4:$DK$4,Jahresscheiben!E$2),0)</f>
        <v>0</v>
      </c>
      <c r="EU22" s="62">
        <f>IF($A22&lt;&gt;"x",$P22*SUMIFS($AF22:$DK22,$AF$4:$DK$4,Jahresscheiben!F$2),0)</f>
        <v>0</v>
      </c>
      <c r="EV22" s="62">
        <f>IF($A22&lt;&gt;"x",$P22*SUMIFS($AF22:$DK22,$AF$4:$DK$4,Jahresscheiben!G$2),0)</f>
        <v>0</v>
      </c>
      <c r="EW22" s="62">
        <f>IF($A22&lt;&gt;"x",$P22*SUMIFS($AF22:$DK22,$AF$4:$DK$4,Jahresscheiben!H$2),0)</f>
        <v>0</v>
      </c>
      <c r="EX22" s="62">
        <f>IF($A22&lt;&gt;"x",$P22*SUMIFS($AF22:$DK22,$AF$4:$DK$4,Jahresscheiben!I$2),0)</f>
        <v>0</v>
      </c>
      <c r="EY22" s="85"/>
      <c r="EZ22" s="61">
        <f t="shared" si="57"/>
        <v>17</v>
      </c>
      <c r="FA22" s="85">
        <f>IF($A22="x",$P22*SUMIFS($AF22:$DK22,$AF$4:$DK$4,Jahresscheiben!C$2)/2,0)</f>
        <v>0</v>
      </c>
      <c r="FB22" s="85">
        <f>IF($A22="x",$P22*SUMIFS($AF22:$DK22,$AF$4:$DK$4,Jahresscheiben!D$2)/2,0)</f>
        <v>36</v>
      </c>
      <c r="FC22" s="85">
        <f>IF($A22="x",$P22*SUMIFS($AF22:$DK22,$AF$4:$DK$4,Jahresscheiben!E$2)/2,0)</f>
        <v>0</v>
      </c>
      <c r="FD22" s="85">
        <f>IF($A22="x",$P22*SUMIFS($AF22:$DK22,$AF$4:$DK$4,Jahresscheiben!F$2)/2,0)</f>
        <v>0</v>
      </c>
      <c r="FE22" s="85">
        <f>IF($A22="x",$P22*SUMIFS($AF22:$DK22,$AF$4:$DK$4,Jahresscheiben!G$2)/2,0)</f>
        <v>0</v>
      </c>
      <c r="FF22" s="85">
        <f>IF($A22="x",$P22*SUMIFS($AF22:$DK22,$AF$4:$DK$4,Jahresscheiben!H$2)/2,0)</f>
        <v>0</v>
      </c>
      <c r="FG22" s="85">
        <f>IF($A22="x",$P22*SUMIFS($AF22:$DK22,$AF$4:$DK$4,Jahresscheiben!I$2)/2,0)</f>
        <v>0</v>
      </c>
      <c r="FH22" s="85"/>
      <c r="FI22" s="61">
        <f t="shared" si="58"/>
        <v>17</v>
      </c>
      <c r="FJ22" s="85" cm="1">
        <f t="array" ref="FJ2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22" s="85" cm="1">
        <f t="array" ref="FK2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1.0045045045045047</v>
      </c>
      <c r="FL22" s="85" cm="1">
        <f t="array" ref="FL2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1.5438871473354232</v>
      </c>
      <c r="FM22" s="85" cm="1">
        <f t="array" ref="FM2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22" s="85" cm="1">
        <f t="array" ref="FN2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22" s="85" cm="1">
        <f t="array" ref="FO2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22" s="85" cm="1">
        <f t="array" ref="FP2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23" spans="1:172" ht="17" customHeight="1" thickBot="1" x14ac:dyDescent="0.55000000000000004">
      <c r="A23" s="30" t="s">
        <v>24</v>
      </c>
      <c r="B23" s="31">
        <f t="shared" si="50"/>
        <v>149</v>
      </c>
      <c r="C23" s="22">
        <f t="shared" si="51"/>
        <v>18</v>
      </c>
      <c r="D23" s="71" t="s">
        <v>67</v>
      </c>
      <c r="E23" s="26"/>
      <c r="F23" s="26">
        <v>17</v>
      </c>
      <c r="G23" s="26">
        <v>22</v>
      </c>
      <c r="H23" s="26"/>
      <c r="I23" s="6">
        <f t="shared" si="40"/>
        <v>46538</v>
      </c>
      <c r="J23" s="6">
        <f t="shared" si="41"/>
        <v>46691</v>
      </c>
      <c r="K23" s="26"/>
      <c r="L23" s="53">
        <v>8</v>
      </c>
      <c r="M23" s="60" cm="1">
        <f t="array" ref="M23" xml:space="preserve">
_xlfn.LET(
_xlpm.Z, _xlfn._xlws.FILTER($DY$6:$EE$65,$DX$6:$DX$65=C23),
_xlpm.Q,_xlfn._xlws.FILTER($DP$6:$DV$65,$DO$6:$DO$65=C23),
IF($A23="x",SUMPRODUCT(_xlpm.Z,$DY$73:$EE$73,EH23:EN23),SUMPRODUCT(_xlpm.Q,$DP$73:$DV$73)))</f>
        <v>0</v>
      </c>
      <c r="N23" s="54" t="str" cm="1">
        <f t="array" ref="N23" xml:space="preserve">
_xlfn.LET(
_xlpm.Z, SUM(IF($A23="x",_xlfn._xlws.FILTER($M$6:$M$65,$A$6:$A$65="x"),_xlfn._xlws.FILTER($M$6:$M$65,$A$6:$A$65&lt;&gt;"x"))),
IF(_xlpm.Z&lt;&gt;0,M23/_xlpm.Z,""))</f>
        <v/>
      </c>
      <c r="O23" s="26"/>
      <c r="P23" s="53">
        <f t="shared" si="52"/>
        <v>8</v>
      </c>
      <c r="Q23" s="60" cm="1">
        <f t="array" ref="Q23" xml:space="preserve">
_xlfn.LET(
_xlpm.Z, _xlfn._xlws.FILTER($FA$6:$FG$65,$EZ$6:$EZ$65=C23),
_xlpm.Q,_xlfn._xlws.FILTER($ER$6:$EX$65,$EQ$6:$EQ$65=C23),
IF($A23="x",SUMPRODUCT(_xlpm.Z,$FA$73:$FG$73,FJ23:FP23),SUMPRODUCT(_xlpm.Q,$ER$73:$EX$73)))</f>
        <v>0</v>
      </c>
      <c r="R23" s="54" t="str" cm="1">
        <f t="array" ref="R23" xml:space="preserve">
_xlfn.LET(
_xlpm.Z, SUM(IF($A23="x",_xlfn._xlws.FILTER($Q$6:$Q$65,$A$6:$A$65="x"),_xlfn._xlws.FILTER($Q$6:$Q$65,$A$6:$A$65&lt;&gt;"x"))),
IF(_xlpm.Z&lt;&gt;0,Q23/_xlpm.Z,""))</f>
        <v/>
      </c>
      <c r="S23" s="26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8"/>
      <c r="AE23" s="28"/>
      <c r="AF23" s="23" t="str">
        <f t="shared" si="59"/>
        <v/>
      </c>
      <c r="AG23" s="23" t="str">
        <f t="shared" si="59"/>
        <v/>
      </c>
      <c r="AH23" s="23" t="str">
        <f t="shared" si="59"/>
        <v/>
      </c>
      <c r="AI23" s="23" t="str">
        <f t="shared" si="59"/>
        <v/>
      </c>
      <c r="AJ23" s="23" t="str">
        <f t="shared" si="59"/>
        <v/>
      </c>
      <c r="AK23" s="23" t="str">
        <f t="shared" si="59"/>
        <v/>
      </c>
      <c r="AL23" s="23" t="str">
        <f t="shared" si="59"/>
        <v/>
      </c>
      <c r="AM23" s="23" t="str">
        <f t="shared" si="59"/>
        <v/>
      </c>
      <c r="AN23" s="23" t="str">
        <f t="shared" si="59"/>
        <v/>
      </c>
      <c r="AO23" s="23" t="str">
        <f t="shared" si="59"/>
        <v/>
      </c>
      <c r="AP23" s="23" t="str">
        <f t="shared" si="60"/>
        <v/>
      </c>
      <c r="AQ23" s="23" t="str">
        <f t="shared" si="60"/>
        <v/>
      </c>
      <c r="AR23" s="23" t="str">
        <f t="shared" si="60"/>
        <v/>
      </c>
      <c r="AS23" s="23" t="str">
        <f t="shared" si="60"/>
        <v/>
      </c>
      <c r="AT23" s="23" t="str">
        <f t="shared" si="60"/>
        <v/>
      </c>
      <c r="AU23" s="23" t="str">
        <f t="shared" si="60"/>
        <v/>
      </c>
      <c r="AV23" s="23">
        <f t="shared" si="60"/>
        <v>2</v>
      </c>
      <c r="AW23" s="23">
        <f t="shared" si="60"/>
        <v>2</v>
      </c>
      <c r="AX23" s="23">
        <f t="shared" si="60"/>
        <v>2</v>
      </c>
      <c r="AY23" s="23">
        <f t="shared" si="60"/>
        <v>2</v>
      </c>
      <c r="AZ23" s="23">
        <f t="shared" si="61"/>
        <v>2</v>
      </c>
      <c r="BA23" s="23">
        <f t="shared" si="61"/>
        <v>2</v>
      </c>
      <c r="BB23" s="23" t="str">
        <f t="shared" si="61"/>
        <v/>
      </c>
      <c r="BC23" s="23" t="str">
        <f t="shared" si="61"/>
        <v/>
      </c>
      <c r="BD23" s="23" t="str">
        <f t="shared" si="61"/>
        <v/>
      </c>
      <c r="BE23" s="23" t="str">
        <f t="shared" si="61"/>
        <v/>
      </c>
      <c r="BF23" s="23" t="str">
        <f t="shared" si="61"/>
        <v/>
      </c>
      <c r="BG23" s="23" t="str">
        <f t="shared" si="61"/>
        <v/>
      </c>
      <c r="BH23" s="23" t="str">
        <f t="shared" si="61"/>
        <v/>
      </c>
      <c r="BI23" s="23" t="str">
        <f t="shared" si="61"/>
        <v/>
      </c>
      <c r="BJ23" s="23" t="str">
        <f t="shared" si="62"/>
        <v/>
      </c>
      <c r="BK23" s="23" t="str">
        <f t="shared" si="62"/>
        <v/>
      </c>
      <c r="BL23" s="23" t="str">
        <f t="shared" si="62"/>
        <v/>
      </c>
      <c r="BM23" s="23" t="str">
        <f t="shared" si="62"/>
        <v/>
      </c>
      <c r="BN23" s="23" t="str">
        <f t="shared" si="62"/>
        <v/>
      </c>
      <c r="BO23" s="23" t="str">
        <f t="shared" si="62"/>
        <v/>
      </c>
      <c r="BP23" s="23" t="str">
        <f t="shared" si="62"/>
        <v/>
      </c>
      <c r="BQ23" s="23" t="str">
        <f t="shared" si="62"/>
        <v/>
      </c>
      <c r="BR23" s="23" t="str">
        <f t="shared" si="62"/>
        <v/>
      </c>
      <c r="BS23" s="23" t="str">
        <f t="shared" si="62"/>
        <v/>
      </c>
      <c r="BT23" s="23" t="str">
        <f t="shared" si="63"/>
        <v/>
      </c>
      <c r="BU23" s="23" t="str">
        <f t="shared" si="63"/>
        <v/>
      </c>
      <c r="BV23" s="23" t="str">
        <f t="shared" si="63"/>
        <v/>
      </c>
      <c r="BW23" s="23" t="str">
        <f t="shared" si="63"/>
        <v/>
      </c>
      <c r="BX23" s="23" t="str">
        <f t="shared" si="63"/>
        <v/>
      </c>
      <c r="BY23" s="23" t="str">
        <f t="shared" si="63"/>
        <v/>
      </c>
      <c r="BZ23" s="23" t="str">
        <f t="shared" si="63"/>
        <v/>
      </c>
      <c r="CA23" s="23" t="str">
        <f t="shared" si="63"/>
        <v/>
      </c>
      <c r="CB23" s="23" t="str">
        <f t="shared" si="63"/>
        <v/>
      </c>
      <c r="CC23" s="23" t="str">
        <f t="shared" si="63"/>
        <v/>
      </c>
      <c r="CD23" s="23" t="str">
        <f t="shared" si="64"/>
        <v/>
      </c>
      <c r="CE23" s="23" t="str">
        <f t="shared" si="64"/>
        <v/>
      </c>
      <c r="CF23" s="23" t="str">
        <f t="shared" si="64"/>
        <v/>
      </c>
      <c r="CG23" s="23" t="str">
        <f t="shared" si="64"/>
        <v/>
      </c>
      <c r="CH23" s="23" t="str">
        <f t="shared" si="64"/>
        <v/>
      </c>
      <c r="CI23" s="23" t="str">
        <f t="shared" si="64"/>
        <v/>
      </c>
      <c r="CJ23" s="23" t="str">
        <f t="shared" si="64"/>
        <v/>
      </c>
      <c r="CK23" s="23" t="str">
        <f t="shared" si="64"/>
        <v/>
      </c>
      <c r="CL23" s="23" t="str">
        <f t="shared" si="64"/>
        <v/>
      </c>
      <c r="CM23" s="23" t="str">
        <f t="shared" si="64"/>
        <v/>
      </c>
      <c r="CN23" s="23" t="str">
        <f t="shared" si="65"/>
        <v/>
      </c>
      <c r="CO23" s="23" t="str">
        <f t="shared" si="65"/>
        <v/>
      </c>
      <c r="CP23" s="23" t="str">
        <f t="shared" si="65"/>
        <v/>
      </c>
      <c r="CQ23" s="23" t="str">
        <f t="shared" si="65"/>
        <v/>
      </c>
      <c r="CR23" s="23" t="str">
        <f t="shared" si="65"/>
        <v/>
      </c>
      <c r="CS23" s="23" t="str">
        <f t="shared" si="65"/>
        <v/>
      </c>
      <c r="CT23" s="23" t="str">
        <f t="shared" si="65"/>
        <v/>
      </c>
      <c r="CU23" s="23" t="str">
        <f t="shared" si="65"/>
        <v/>
      </c>
      <c r="CV23" s="23" t="str">
        <f t="shared" si="65"/>
        <v/>
      </c>
      <c r="CW23" s="23" t="str">
        <f t="shared" si="65"/>
        <v/>
      </c>
      <c r="CX23" s="23" t="str">
        <f t="shared" si="66"/>
        <v/>
      </c>
      <c r="CY23" s="23" t="str">
        <f t="shared" si="66"/>
        <v/>
      </c>
      <c r="CZ23" s="23" t="str">
        <f t="shared" si="66"/>
        <v/>
      </c>
      <c r="DA23" s="23" t="str">
        <f t="shared" si="66"/>
        <v/>
      </c>
      <c r="DB23" s="23" t="str">
        <f t="shared" si="66"/>
        <v/>
      </c>
      <c r="DC23" s="23" t="str">
        <f t="shared" si="66"/>
        <v/>
      </c>
      <c r="DD23" s="23" t="str">
        <f t="shared" si="66"/>
        <v/>
      </c>
      <c r="DE23" s="23" t="str">
        <f t="shared" si="66"/>
        <v/>
      </c>
      <c r="DF23" s="23" t="str">
        <f t="shared" si="66"/>
        <v/>
      </c>
      <c r="DG23" s="23" t="str">
        <f t="shared" si="66"/>
        <v/>
      </c>
      <c r="DH23" s="23" t="str">
        <f t="shared" si="66"/>
        <v/>
      </c>
      <c r="DI23" s="23" t="str">
        <f t="shared" si="66"/>
        <v/>
      </c>
      <c r="DJ23" s="23" t="str">
        <f t="shared" si="66"/>
        <v/>
      </c>
      <c r="DK23" s="23" t="str">
        <f t="shared" si="66"/>
        <v/>
      </c>
      <c r="DO23" s="61">
        <f t="shared" si="53"/>
        <v>18</v>
      </c>
      <c r="DP23" s="61">
        <f>IF($A23&lt;&gt;"x",$L23*SUMIFS($AF23:$DK23,$AF$4:$DK$4,Jahresscheiben!C$2),0)</f>
        <v>0</v>
      </c>
      <c r="DQ23" s="61">
        <f>IF($A23&lt;&gt;"x",$L23*SUMIFS($AF23:$DK23,$AF$4:$DK$4,Jahresscheiben!D$2),0)</f>
        <v>0</v>
      </c>
      <c r="DR23" s="61">
        <f>IF($A23&lt;&gt;"x",$L23*SUMIFS($AF23:$DK23,$AF$4:$DK$4,Jahresscheiben!E$2),0)</f>
        <v>0</v>
      </c>
      <c r="DS23" s="61">
        <f>IF($A23&lt;&gt;"x",$L23*SUMIFS($AF23:$DK23,$AF$4:$DK$4,Jahresscheiben!F$2),0)</f>
        <v>0</v>
      </c>
      <c r="DT23" s="61">
        <f>IF($A23&lt;&gt;"x",$L23*SUMIFS($AF23:$DK23,$AF$4:$DK$4,Jahresscheiben!G$2),0)</f>
        <v>0</v>
      </c>
      <c r="DU23" s="61">
        <f>IF($A23&lt;&gt;"x",$L23*SUMIFS($AF23:$DK23,$AF$4:$DK$4,Jahresscheiben!H$2),0)</f>
        <v>0</v>
      </c>
      <c r="DV23" s="61">
        <f>IF($A23&lt;&gt;"x",$L23*SUMIFS($AF23:$DK23,$AF$4:$DK$4,Jahresscheiben!I$2),0)</f>
        <v>0</v>
      </c>
      <c r="DW23" s="85"/>
      <c r="DX23" s="61">
        <f t="shared" si="54"/>
        <v>18</v>
      </c>
      <c r="DY23" s="85">
        <f>IF($A23="x",$L23*SUMIFS($AF23:$DK23,$AF$4:$DK$4,Jahresscheiben!C$2)/2,0)</f>
        <v>0</v>
      </c>
      <c r="DZ23" s="85">
        <f>IF($A23="x",$L23*SUMIFS($AF23:$DK23,$AF$4:$DK$4,Jahresscheiben!D$2)/2,0)</f>
        <v>48</v>
      </c>
      <c r="EA23" s="85">
        <f>IF($A23="x",$L23*SUMIFS($AF23:$DK23,$AF$4:$DK$4,Jahresscheiben!E$2)/2,0)</f>
        <v>0</v>
      </c>
      <c r="EB23" s="85">
        <f>IF($A23="x",$L23*SUMIFS($AF23:$DK23,$AF$4:$DK$4,Jahresscheiben!F$2)/2,0)</f>
        <v>0</v>
      </c>
      <c r="EC23" s="85">
        <f>IF($A23="x",$L23*SUMIFS($AF23:$DK23,$AF$4:$DK$4,Jahresscheiben!G$2)/2,0)</f>
        <v>0</v>
      </c>
      <c r="ED23" s="85">
        <f>IF($A23="x",$L23*SUMIFS($AF23:$DK23,$AF$4:$DK$4,Jahresscheiben!H$2)/2,0)</f>
        <v>0</v>
      </c>
      <c r="EE23" s="85">
        <f>IF($A23="x",$L23*SUMIFS($AF23:$DK23,$AF$4:$DK$4,Jahresscheiben!I$2)/2,0)</f>
        <v>0</v>
      </c>
      <c r="EF23" s="85"/>
      <c r="EG23" s="61">
        <f t="shared" si="55"/>
        <v>18</v>
      </c>
      <c r="EH23" s="85" cm="1">
        <f t="array" ref="EH2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23" s="85" cm="1">
        <f t="array" ref="EI2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1.0045045045045047</v>
      </c>
      <c r="EJ23" s="85" cm="1">
        <f t="array" ref="EJ2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1.5438871473354232</v>
      </c>
      <c r="EK23" s="85" cm="1">
        <f t="array" ref="EK2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23" s="85" cm="1">
        <f t="array" ref="EL2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23" s="85" cm="1">
        <f t="array" ref="EM2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23" s="85" cm="1">
        <f t="array" ref="EN2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23" s="85"/>
      <c r="EQ23" s="61">
        <f t="shared" si="56"/>
        <v>18</v>
      </c>
      <c r="ER23" s="62">
        <f>IF($A23&lt;&gt;"x",$P23*SUMIFS($AF23:$DK23,$AF$4:$DK$4,Jahresscheiben!C$2),0)</f>
        <v>0</v>
      </c>
      <c r="ES23" s="62">
        <f>IF($A23&lt;&gt;"x",$P23*SUMIFS($AF23:$DK23,$AF$4:$DK$4,Jahresscheiben!D$2),0)</f>
        <v>0</v>
      </c>
      <c r="ET23" s="62">
        <f>IF($A23&lt;&gt;"x",$P23*SUMIFS($AF23:$DK23,$AF$4:$DK$4,Jahresscheiben!E$2),0)</f>
        <v>0</v>
      </c>
      <c r="EU23" s="62">
        <f>IF($A23&lt;&gt;"x",$P23*SUMIFS($AF23:$DK23,$AF$4:$DK$4,Jahresscheiben!F$2),0)</f>
        <v>0</v>
      </c>
      <c r="EV23" s="62">
        <f>IF($A23&lt;&gt;"x",$P23*SUMIFS($AF23:$DK23,$AF$4:$DK$4,Jahresscheiben!G$2),0)</f>
        <v>0</v>
      </c>
      <c r="EW23" s="62">
        <f>IF($A23&lt;&gt;"x",$P23*SUMIFS($AF23:$DK23,$AF$4:$DK$4,Jahresscheiben!H$2),0)</f>
        <v>0</v>
      </c>
      <c r="EX23" s="62">
        <f>IF($A23&lt;&gt;"x",$P23*SUMIFS($AF23:$DK23,$AF$4:$DK$4,Jahresscheiben!I$2),0)</f>
        <v>0</v>
      </c>
      <c r="EY23" s="85"/>
      <c r="EZ23" s="61">
        <f t="shared" si="57"/>
        <v>18</v>
      </c>
      <c r="FA23" s="85">
        <f>IF($A23="x",$P23*SUMIFS($AF23:$DK23,$AF$4:$DK$4,Jahresscheiben!C$2)/2,0)</f>
        <v>0</v>
      </c>
      <c r="FB23" s="85">
        <f>IF($A23="x",$P23*SUMIFS($AF23:$DK23,$AF$4:$DK$4,Jahresscheiben!D$2)/2,0)</f>
        <v>48</v>
      </c>
      <c r="FC23" s="85">
        <f>IF($A23="x",$P23*SUMIFS($AF23:$DK23,$AF$4:$DK$4,Jahresscheiben!E$2)/2,0)</f>
        <v>0</v>
      </c>
      <c r="FD23" s="85">
        <f>IF($A23="x",$P23*SUMIFS($AF23:$DK23,$AF$4:$DK$4,Jahresscheiben!F$2)/2,0)</f>
        <v>0</v>
      </c>
      <c r="FE23" s="85">
        <f>IF($A23="x",$P23*SUMIFS($AF23:$DK23,$AF$4:$DK$4,Jahresscheiben!G$2)/2,0)</f>
        <v>0</v>
      </c>
      <c r="FF23" s="85">
        <f>IF($A23="x",$P23*SUMIFS($AF23:$DK23,$AF$4:$DK$4,Jahresscheiben!H$2)/2,0)</f>
        <v>0</v>
      </c>
      <c r="FG23" s="85">
        <f>IF($A23="x",$P23*SUMIFS($AF23:$DK23,$AF$4:$DK$4,Jahresscheiben!I$2)/2,0)</f>
        <v>0</v>
      </c>
      <c r="FH23" s="85"/>
      <c r="FI23" s="61">
        <f t="shared" si="58"/>
        <v>18</v>
      </c>
      <c r="FJ23" s="85" cm="1">
        <f t="array" ref="FJ2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23" s="85" cm="1">
        <f t="array" ref="FK2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1.0045045045045047</v>
      </c>
      <c r="FL23" s="85" cm="1">
        <f t="array" ref="FL2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1.5438871473354232</v>
      </c>
      <c r="FM23" s="85" cm="1">
        <f t="array" ref="FM2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23" s="85" cm="1">
        <f t="array" ref="FN2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23" s="85" cm="1">
        <f t="array" ref="FO2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23" s="85" cm="1">
        <f t="array" ref="FP2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24" spans="1:172" ht="17" customHeight="1" thickBot="1" x14ac:dyDescent="0.55000000000000004">
      <c r="A24" s="30" t="s">
        <v>24</v>
      </c>
      <c r="B24" s="31">
        <f t="shared" si="50"/>
        <v>138</v>
      </c>
      <c r="C24" s="22">
        <f t="shared" si="51"/>
        <v>19</v>
      </c>
      <c r="D24" s="71" t="s">
        <v>68</v>
      </c>
      <c r="E24" s="26"/>
      <c r="F24" s="26">
        <v>19</v>
      </c>
      <c r="G24" s="26">
        <v>25</v>
      </c>
      <c r="H24" s="26"/>
      <c r="I24" s="6">
        <f t="shared" si="40"/>
        <v>46599</v>
      </c>
      <c r="J24" s="6">
        <f t="shared" si="41"/>
        <v>46783</v>
      </c>
      <c r="K24" s="26"/>
      <c r="L24" s="53">
        <v>10</v>
      </c>
      <c r="M24" s="60" cm="1">
        <f t="array" ref="M24" xml:space="preserve">
_xlfn.LET(
_xlpm.Z, _xlfn._xlws.FILTER($DY$6:$EE$65,$DX$6:$DX$65=C24),
_xlpm.Q,_xlfn._xlws.FILTER($DP$6:$DV$65,$DO$6:$DO$65=C24),
IF($A24="x",SUMPRODUCT(_xlpm.Z,$DY$73:$EE$73,EH24:EN24),SUMPRODUCT(_xlpm.Q,$DP$73:$DV$73)))</f>
        <v>0</v>
      </c>
      <c r="N24" s="54" t="str" cm="1">
        <f t="array" ref="N24" xml:space="preserve">
_xlfn.LET(
_xlpm.Z, SUM(IF($A24="x",_xlfn._xlws.FILTER($M$6:$M$65,$A$6:$A$65="x"),_xlfn._xlws.FILTER($M$6:$M$65,$A$6:$A$65&lt;&gt;"x"))),
IF(_xlpm.Z&lt;&gt;0,M24/_xlpm.Z,""))</f>
        <v/>
      </c>
      <c r="O24" s="26"/>
      <c r="P24" s="53">
        <f t="shared" si="52"/>
        <v>10</v>
      </c>
      <c r="Q24" s="60" cm="1">
        <f t="array" ref="Q24" xml:space="preserve">
_xlfn.LET(
_xlpm.Z, _xlfn._xlws.FILTER($FA$6:$FG$65,$EZ$6:$EZ$65=C24),
_xlpm.Q,_xlfn._xlws.FILTER($ER$6:$EX$65,$EQ$6:$EQ$65=C24),
IF($A24="x",SUMPRODUCT(_xlpm.Z,$FA$73:$FG$73,FJ24:FP24),SUMPRODUCT(_xlpm.Q,$ER$73:$EX$73)))</f>
        <v>0</v>
      </c>
      <c r="R24" s="54" t="str" cm="1">
        <f t="array" ref="R24" xml:space="preserve">
_xlfn.LET(
_xlpm.Z, SUM(IF($A24="x",_xlfn._xlws.FILTER($Q$6:$Q$65,$A$6:$A$65="x"),_xlfn._xlws.FILTER($Q$6:$Q$65,$A$6:$A$65&lt;&gt;"x"))),
IF(_xlpm.Z&lt;&gt;0,Q24/_xlpm.Z,""))</f>
        <v/>
      </c>
      <c r="S24" s="26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8"/>
      <c r="AE24" s="28"/>
      <c r="AF24" s="23" t="str">
        <f t="shared" si="59"/>
        <v/>
      </c>
      <c r="AG24" s="23" t="str">
        <f t="shared" si="59"/>
        <v/>
      </c>
      <c r="AH24" s="23" t="str">
        <f t="shared" si="59"/>
        <v/>
      </c>
      <c r="AI24" s="23" t="str">
        <f t="shared" si="59"/>
        <v/>
      </c>
      <c r="AJ24" s="23" t="str">
        <f t="shared" si="59"/>
        <v/>
      </c>
      <c r="AK24" s="23" t="str">
        <f t="shared" si="59"/>
        <v/>
      </c>
      <c r="AL24" s="23" t="str">
        <f t="shared" si="59"/>
        <v/>
      </c>
      <c r="AM24" s="23" t="str">
        <f t="shared" si="59"/>
        <v/>
      </c>
      <c r="AN24" s="23" t="str">
        <f t="shared" si="59"/>
        <v/>
      </c>
      <c r="AO24" s="23" t="str">
        <f t="shared" si="59"/>
        <v/>
      </c>
      <c r="AP24" s="23" t="str">
        <f t="shared" si="60"/>
        <v/>
      </c>
      <c r="AQ24" s="23" t="str">
        <f t="shared" si="60"/>
        <v/>
      </c>
      <c r="AR24" s="23" t="str">
        <f t="shared" si="60"/>
        <v/>
      </c>
      <c r="AS24" s="23" t="str">
        <f t="shared" si="60"/>
        <v/>
      </c>
      <c r="AT24" s="23" t="str">
        <f t="shared" si="60"/>
        <v/>
      </c>
      <c r="AU24" s="23" t="str">
        <f t="shared" si="60"/>
        <v/>
      </c>
      <c r="AV24" s="23" t="str">
        <f t="shared" si="60"/>
        <v/>
      </c>
      <c r="AW24" s="23" t="str">
        <f t="shared" si="60"/>
        <v/>
      </c>
      <c r="AX24" s="23">
        <f t="shared" si="60"/>
        <v>2</v>
      </c>
      <c r="AY24" s="23">
        <f t="shared" si="60"/>
        <v>2</v>
      </c>
      <c r="AZ24" s="23">
        <f t="shared" si="61"/>
        <v>2</v>
      </c>
      <c r="BA24" s="23">
        <f t="shared" si="61"/>
        <v>2</v>
      </c>
      <c r="BB24" s="23">
        <f t="shared" si="61"/>
        <v>2</v>
      </c>
      <c r="BC24" s="23">
        <f t="shared" si="61"/>
        <v>2</v>
      </c>
      <c r="BD24" s="23">
        <f t="shared" si="61"/>
        <v>2</v>
      </c>
      <c r="BE24" s="23" t="str">
        <f t="shared" si="61"/>
        <v/>
      </c>
      <c r="BF24" s="23" t="str">
        <f t="shared" si="61"/>
        <v/>
      </c>
      <c r="BG24" s="23" t="str">
        <f t="shared" si="61"/>
        <v/>
      </c>
      <c r="BH24" s="23" t="str">
        <f t="shared" si="61"/>
        <v/>
      </c>
      <c r="BI24" s="23" t="str">
        <f t="shared" si="61"/>
        <v/>
      </c>
      <c r="BJ24" s="23" t="str">
        <f t="shared" si="62"/>
        <v/>
      </c>
      <c r="BK24" s="23" t="str">
        <f t="shared" si="62"/>
        <v/>
      </c>
      <c r="BL24" s="23" t="str">
        <f t="shared" si="62"/>
        <v/>
      </c>
      <c r="BM24" s="23" t="str">
        <f t="shared" si="62"/>
        <v/>
      </c>
      <c r="BN24" s="23" t="str">
        <f t="shared" si="62"/>
        <v/>
      </c>
      <c r="BO24" s="23" t="str">
        <f t="shared" si="62"/>
        <v/>
      </c>
      <c r="BP24" s="23" t="str">
        <f t="shared" si="62"/>
        <v/>
      </c>
      <c r="BQ24" s="23" t="str">
        <f t="shared" si="62"/>
        <v/>
      </c>
      <c r="BR24" s="23" t="str">
        <f t="shared" si="62"/>
        <v/>
      </c>
      <c r="BS24" s="23" t="str">
        <f t="shared" si="62"/>
        <v/>
      </c>
      <c r="BT24" s="23" t="str">
        <f t="shared" si="63"/>
        <v/>
      </c>
      <c r="BU24" s="23" t="str">
        <f t="shared" si="63"/>
        <v/>
      </c>
      <c r="BV24" s="23" t="str">
        <f t="shared" si="63"/>
        <v/>
      </c>
      <c r="BW24" s="23" t="str">
        <f t="shared" si="63"/>
        <v/>
      </c>
      <c r="BX24" s="23" t="str">
        <f t="shared" si="63"/>
        <v/>
      </c>
      <c r="BY24" s="23" t="str">
        <f t="shared" si="63"/>
        <v/>
      </c>
      <c r="BZ24" s="23" t="str">
        <f t="shared" si="63"/>
        <v/>
      </c>
      <c r="CA24" s="23" t="str">
        <f t="shared" si="63"/>
        <v/>
      </c>
      <c r="CB24" s="23" t="str">
        <f t="shared" si="63"/>
        <v/>
      </c>
      <c r="CC24" s="23" t="str">
        <f t="shared" si="63"/>
        <v/>
      </c>
      <c r="CD24" s="23" t="str">
        <f t="shared" si="64"/>
        <v/>
      </c>
      <c r="CE24" s="23" t="str">
        <f t="shared" si="64"/>
        <v/>
      </c>
      <c r="CF24" s="23" t="str">
        <f t="shared" si="64"/>
        <v/>
      </c>
      <c r="CG24" s="23" t="str">
        <f t="shared" si="64"/>
        <v/>
      </c>
      <c r="CH24" s="23" t="str">
        <f t="shared" si="64"/>
        <v/>
      </c>
      <c r="CI24" s="23" t="str">
        <f t="shared" si="64"/>
        <v/>
      </c>
      <c r="CJ24" s="23" t="str">
        <f t="shared" si="64"/>
        <v/>
      </c>
      <c r="CK24" s="23" t="str">
        <f t="shared" si="64"/>
        <v/>
      </c>
      <c r="CL24" s="23" t="str">
        <f t="shared" si="64"/>
        <v/>
      </c>
      <c r="CM24" s="23" t="str">
        <f t="shared" si="64"/>
        <v/>
      </c>
      <c r="CN24" s="23" t="str">
        <f t="shared" si="65"/>
        <v/>
      </c>
      <c r="CO24" s="23" t="str">
        <f t="shared" si="65"/>
        <v/>
      </c>
      <c r="CP24" s="23" t="str">
        <f t="shared" si="65"/>
        <v/>
      </c>
      <c r="CQ24" s="23" t="str">
        <f t="shared" si="65"/>
        <v/>
      </c>
      <c r="CR24" s="23" t="str">
        <f t="shared" si="65"/>
        <v/>
      </c>
      <c r="CS24" s="23" t="str">
        <f t="shared" si="65"/>
        <v/>
      </c>
      <c r="CT24" s="23" t="str">
        <f t="shared" si="65"/>
        <v/>
      </c>
      <c r="CU24" s="23" t="str">
        <f t="shared" si="65"/>
        <v/>
      </c>
      <c r="CV24" s="23" t="str">
        <f t="shared" si="65"/>
        <v/>
      </c>
      <c r="CW24" s="23" t="str">
        <f t="shared" si="65"/>
        <v/>
      </c>
      <c r="CX24" s="23" t="str">
        <f t="shared" si="66"/>
        <v/>
      </c>
      <c r="CY24" s="23" t="str">
        <f t="shared" si="66"/>
        <v/>
      </c>
      <c r="CZ24" s="23" t="str">
        <f t="shared" si="66"/>
        <v/>
      </c>
      <c r="DA24" s="23" t="str">
        <f t="shared" si="66"/>
        <v/>
      </c>
      <c r="DB24" s="23" t="str">
        <f t="shared" si="66"/>
        <v/>
      </c>
      <c r="DC24" s="23" t="str">
        <f t="shared" si="66"/>
        <v/>
      </c>
      <c r="DD24" s="23" t="str">
        <f t="shared" si="66"/>
        <v/>
      </c>
      <c r="DE24" s="23" t="str">
        <f t="shared" si="66"/>
        <v/>
      </c>
      <c r="DF24" s="23" t="str">
        <f t="shared" si="66"/>
        <v/>
      </c>
      <c r="DG24" s="23" t="str">
        <f t="shared" si="66"/>
        <v/>
      </c>
      <c r="DH24" s="23" t="str">
        <f t="shared" si="66"/>
        <v/>
      </c>
      <c r="DI24" s="23" t="str">
        <f t="shared" si="66"/>
        <v/>
      </c>
      <c r="DJ24" s="23" t="str">
        <f t="shared" si="66"/>
        <v/>
      </c>
      <c r="DK24" s="23" t="str">
        <f t="shared" si="66"/>
        <v/>
      </c>
      <c r="DO24" s="61">
        <f t="shared" si="53"/>
        <v>19</v>
      </c>
      <c r="DP24" s="61">
        <f>IF($A24&lt;&gt;"x",$L24*SUMIFS($AF24:$DK24,$AF$4:$DK$4,Jahresscheiben!C$2),0)</f>
        <v>0</v>
      </c>
      <c r="DQ24" s="61">
        <f>IF($A24&lt;&gt;"x",$L24*SUMIFS($AF24:$DK24,$AF$4:$DK$4,Jahresscheiben!D$2),0)</f>
        <v>0</v>
      </c>
      <c r="DR24" s="61">
        <f>IF($A24&lt;&gt;"x",$L24*SUMIFS($AF24:$DK24,$AF$4:$DK$4,Jahresscheiben!E$2),0)</f>
        <v>0</v>
      </c>
      <c r="DS24" s="61">
        <f>IF($A24&lt;&gt;"x",$L24*SUMIFS($AF24:$DK24,$AF$4:$DK$4,Jahresscheiben!F$2),0)</f>
        <v>0</v>
      </c>
      <c r="DT24" s="61">
        <f>IF($A24&lt;&gt;"x",$L24*SUMIFS($AF24:$DK24,$AF$4:$DK$4,Jahresscheiben!G$2),0)</f>
        <v>0</v>
      </c>
      <c r="DU24" s="61">
        <f>IF($A24&lt;&gt;"x",$L24*SUMIFS($AF24:$DK24,$AF$4:$DK$4,Jahresscheiben!H$2),0)</f>
        <v>0</v>
      </c>
      <c r="DV24" s="61">
        <f>IF($A24&lt;&gt;"x",$L24*SUMIFS($AF24:$DK24,$AF$4:$DK$4,Jahresscheiben!I$2),0)</f>
        <v>0</v>
      </c>
      <c r="DW24" s="85"/>
      <c r="DX24" s="61">
        <f t="shared" si="54"/>
        <v>19</v>
      </c>
      <c r="DY24" s="85">
        <f>IF($A24="x",$L24*SUMIFS($AF24:$DK24,$AF$4:$DK$4,Jahresscheiben!C$2)/2,0)</f>
        <v>0</v>
      </c>
      <c r="DZ24" s="85">
        <f>IF($A24="x",$L24*SUMIFS($AF24:$DK24,$AF$4:$DK$4,Jahresscheiben!D$2)/2,0)</f>
        <v>60</v>
      </c>
      <c r="EA24" s="85">
        <f>IF($A24="x",$L24*SUMIFS($AF24:$DK24,$AF$4:$DK$4,Jahresscheiben!E$2)/2,0)</f>
        <v>10</v>
      </c>
      <c r="EB24" s="85">
        <f>IF($A24="x",$L24*SUMIFS($AF24:$DK24,$AF$4:$DK$4,Jahresscheiben!F$2)/2,0)</f>
        <v>0</v>
      </c>
      <c r="EC24" s="85">
        <f>IF($A24="x",$L24*SUMIFS($AF24:$DK24,$AF$4:$DK$4,Jahresscheiben!G$2)/2,0)</f>
        <v>0</v>
      </c>
      <c r="ED24" s="85">
        <f>IF($A24="x",$L24*SUMIFS($AF24:$DK24,$AF$4:$DK$4,Jahresscheiben!H$2)/2,0)</f>
        <v>0</v>
      </c>
      <c r="EE24" s="85">
        <f>IF($A24="x",$L24*SUMIFS($AF24:$DK24,$AF$4:$DK$4,Jahresscheiben!I$2)/2,0)</f>
        <v>0</v>
      </c>
      <c r="EF24" s="85"/>
      <c r="EG24" s="61">
        <f t="shared" si="55"/>
        <v>19</v>
      </c>
      <c r="EH24" s="85" cm="1">
        <f t="array" ref="EH2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24" s="85" cm="1">
        <f t="array" ref="EI2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1.0045045045045047</v>
      </c>
      <c r="EJ24" s="85" cm="1">
        <f t="array" ref="EJ2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1.5438871473354232</v>
      </c>
      <c r="EK24" s="85" cm="1">
        <f t="array" ref="EK2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24" s="85" cm="1">
        <f t="array" ref="EL2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24" s="85" cm="1">
        <f t="array" ref="EM2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24" s="85" cm="1">
        <f t="array" ref="EN2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24" s="85"/>
      <c r="EQ24" s="61">
        <f t="shared" si="56"/>
        <v>19</v>
      </c>
      <c r="ER24" s="62">
        <f>IF($A24&lt;&gt;"x",$P24*SUMIFS($AF24:$DK24,$AF$4:$DK$4,Jahresscheiben!C$2),0)</f>
        <v>0</v>
      </c>
      <c r="ES24" s="62">
        <f>IF($A24&lt;&gt;"x",$P24*SUMIFS($AF24:$DK24,$AF$4:$DK$4,Jahresscheiben!D$2),0)</f>
        <v>0</v>
      </c>
      <c r="ET24" s="62">
        <f>IF($A24&lt;&gt;"x",$P24*SUMIFS($AF24:$DK24,$AF$4:$DK$4,Jahresscheiben!E$2),0)</f>
        <v>0</v>
      </c>
      <c r="EU24" s="62">
        <f>IF($A24&lt;&gt;"x",$P24*SUMIFS($AF24:$DK24,$AF$4:$DK$4,Jahresscheiben!F$2),0)</f>
        <v>0</v>
      </c>
      <c r="EV24" s="62">
        <f>IF($A24&lt;&gt;"x",$P24*SUMIFS($AF24:$DK24,$AF$4:$DK$4,Jahresscheiben!G$2),0)</f>
        <v>0</v>
      </c>
      <c r="EW24" s="62">
        <f>IF($A24&lt;&gt;"x",$P24*SUMIFS($AF24:$DK24,$AF$4:$DK$4,Jahresscheiben!H$2),0)</f>
        <v>0</v>
      </c>
      <c r="EX24" s="62">
        <f>IF($A24&lt;&gt;"x",$P24*SUMIFS($AF24:$DK24,$AF$4:$DK$4,Jahresscheiben!I$2),0)</f>
        <v>0</v>
      </c>
      <c r="EY24" s="85"/>
      <c r="EZ24" s="61">
        <f t="shared" si="57"/>
        <v>19</v>
      </c>
      <c r="FA24" s="85">
        <f>IF($A24="x",$P24*SUMIFS($AF24:$DK24,$AF$4:$DK$4,Jahresscheiben!C$2)/2,0)</f>
        <v>0</v>
      </c>
      <c r="FB24" s="85">
        <f>IF($A24="x",$P24*SUMIFS($AF24:$DK24,$AF$4:$DK$4,Jahresscheiben!D$2)/2,0)</f>
        <v>60</v>
      </c>
      <c r="FC24" s="85">
        <f>IF($A24="x",$P24*SUMIFS($AF24:$DK24,$AF$4:$DK$4,Jahresscheiben!E$2)/2,0)</f>
        <v>10</v>
      </c>
      <c r="FD24" s="85">
        <f>IF($A24="x",$P24*SUMIFS($AF24:$DK24,$AF$4:$DK$4,Jahresscheiben!F$2)/2,0)</f>
        <v>0</v>
      </c>
      <c r="FE24" s="85">
        <f>IF($A24="x",$P24*SUMIFS($AF24:$DK24,$AF$4:$DK$4,Jahresscheiben!G$2)/2,0)</f>
        <v>0</v>
      </c>
      <c r="FF24" s="85">
        <f>IF($A24="x",$P24*SUMIFS($AF24:$DK24,$AF$4:$DK$4,Jahresscheiben!H$2)/2,0)</f>
        <v>0</v>
      </c>
      <c r="FG24" s="85">
        <f>IF($A24="x",$P24*SUMIFS($AF24:$DK24,$AF$4:$DK$4,Jahresscheiben!I$2)/2,0)</f>
        <v>0</v>
      </c>
      <c r="FH24" s="85"/>
      <c r="FI24" s="61">
        <f t="shared" si="58"/>
        <v>19</v>
      </c>
      <c r="FJ24" s="85" cm="1">
        <f t="array" ref="FJ2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24" s="85" cm="1">
        <f t="array" ref="FK2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1.0045045045045047</v>
      </c>
      <c r="FL24" s="85" cm="1">
        <f t="array" ref="FL2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1.5438871473354232</v>
      </c>
      <c r="FM24" s="85" cm="1">
        <f t="array" ref="FM2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24" s="85" cm="1">
        <f t="array" ref="FN2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24" s="85" cm="1">
        <f t="array" ref="FO2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24" s="85" cm="1">
        <f t="array" ref="FP2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25" spans="1:172" ht="17" customHeight="1" thickBot="1" x14ac:dyDescent="0.55000000000000004">
      <c r="A25" s="30" t="s">
        <v>24</v>
      </c>
      <c r="B25" s="31">
        <f t="shared" si="50"/>
        <v>143</v>
      </c>
      <c r="C25" s="22">
        <f t="shared" si="51"/>
        <v>20</v>
      </c>
      <c r="D25" s="71" t="s">
        <v>75</v>
      </c>
      <c r="E25" s="26"/>
      <c r="F25" s="26">
        <v>24</v>
      </c>
      <c r="G25" s="26">
        <v>26</v>
      </c>
      <c r="H25" s="26"/>
      <c r="I25" s="6">
        <f t="shared" si="40"/>
        <v>46752</v>
      </c>
      <c r="J25" s="6">
        <f t="shared" si="41"/>
        <v>46812</v>
      </c>
      <c r="K25" s="26"/>
      <c r="L25" s="53">
        <v>6</v>
      </c>
      <c r="M25" s="60" cm="1">
        <f t="array" ref="M25" xml:space="preserve">
_xlfn.LET(
_xlpm.Z, _xlfn._xlws.FILTER($DY$6:$EE$65,$DX$6:$DX$65=C25),
_xlpm.Q,_xlfn._xlws.FILTER($DP$6:$DV$65,$DO$6:$DO$65=C25),
IF($A25="x",SUMPRODUCT(_xlpm.Z,$DY$73:$EE$73,EH25:EN25),SUMPRODUCT(_xlpm.Q,$DP$73:$DV$73)))</f>
        <v>0</v>
      </c>
      <c r="N25" s="54" t="str" cm="1">
        <f t="array" ref="N25" xml:space="preserve">
_xlfn.LET(
_xlpm.Z, SUM(IF($A25="x",_xlfn._xlws.FILTER($M$6:$M$65,$A$6:$A$65="x"),_xlfn._xlws.FILTER($M$6:$M$65,$A$6:$A$65&lt;&gt;"x"))),
IF(_xlpm.Z&lt;&gt;0,M25/_xlpm.Z,""))</f>
        <v/>
      </c>
      <c r="O25" s="26"/>
      <c r="P25" s="53">
        <f t="shared" si="52"/>
        <v>6</v>
      </c>
      <c r="Q25" s="60" cm="1">
        <f t="array" ref="Q25" xml:space="preserve">
_xlfn.LET(
_xlpm.Z, _xlfn._xlws.FILTER($FA$6:$FG$65,$EZ$6:$EZ$65=C25),
_xlpm.Q,_xlfn._xlws.FILTER($ER$6:$EX$65,$EQ$6:$EQ$65=C25),
IF($A25="x",SUMPRODUCT(_xlpm.Z,$FA$73:$FG$73,FJ25:FP25),SUMPRODUCT(_xlpm.Q,$ER$73:$EX$73)))</f>
        <v>0</v>
      </c>
      <c r="R25" s="54" t="str" cm="1">
        <f t="array" ref="R25" xml:space="preserve">
_xlfn.LET(
_xlpm.Z, SUM(IF($A25="x",_xlfn._xlws.FILTER($Q$6:$Q$65,$A$6:$A$65="x"),_xlfn._xlws.FILTER($Q$6:$Q$65,$A$6:$A$65&lt;&gt;"x"))),
IF(_xlpm.Z&lt;&gt;0,Q25/_xlpm.Z,""))</f>
        <v/>
      </c>
      <c r="S25" s="26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8"/>
      <c r="AE25" s="28"/>
      <c r="AF25" s="23" t="str">
        <f t="shared" si="59"/>
        <v/>
      </c>
      <c r="AG25" s="23" t="str">
        <f t="shared" si="59"/>
        <v/>
      </c>
      <c r="AH25" s="23" t="str">
        <f t="shared" si="59"/>
        <v/>
      </c>
      <c r="AI25" s="23" t="str">
        <f t="shared" si="59"/>
        <v/>
      </c>
      <c r="AJ25" s="23" t="str">
        <f t="shared" si="59"/>
        <v/>
      </c>
      <c r="AK25" s="23" t="str">
        <f t="shared" si="59"/>
        <v/>
      </c>
      <c r="AL25" s="23" t="str">
        <f t="shared" si="59"/>
        <v/>
      </c>
      <c r="AM25" s="23" t="str">
        <f t="shared" si="59"/>
        <v/>
      </c>
      <c r="AN25" s="23" t="str">
        <f t="shared" si="59"/>
        <v/>
      </c>
      <c r="AO25" s="23" t="str">
        <f t="shared" si="59"/>
        <v/>
      </c>
      <c r="AP25" s="23" t="str">
        <f t="shared" si="60"/>
        <v/>
      </c>
      <c r="AQ25" s="23" t="str">
        <f t="shared" si="60"/>
        <v/>
      </c>
      <c r="AR25" s="23" t="str">
        <f t="shared" si="60"/>
        <v/>
      </c>
      <c r="AS25" s="23" t="str">
        <f t="shared" si="60"/>
        <v/>
      </c>
      <c r="AT25" s="23" t="str">
        <f t="shared" si="60"/>
        <v/>
      </c>
      <c r="AU25" s="23" t="str">
        <f t="shared" si="60"/>
        <v/>
      </c>
      <c r="AV25" s="23" t="str">
        <f t="shared" si="60"/>
        <v/>
      </c>
      <c r="AW25" s="23" t="str">
        <f t="shared" si="60"/>
        <v/>
      </c>
      <c r="AX25" s="23" t="str">
        <f t="shared" si="60"/>
        <v/>
      </c>
      <c r="AY25" s="23" t="str">
        <f t="shared" si="60"/>
        <v/>
      </c>
      <c r="AZ25" s="23" t="str">
        <f t="shared" si="61"/>
        <v/>
      </c>
      <c r="BA25" s="23" t="str">
        <f t="shared" si="61"/>
        <v/>
      </c>
      <c r="BB25" s="23" t="str">
        <f t="shared" si="61"/>
        <v/>
      </c>
      <c r="BC25" s="23">
        <f t="shared" si="61"/>
        <v>2</v>
      </c>
      <c r="BD25" s="23">
        <f t="shared" si="61"/>
        <v>2</v>
      </c>
      <c r="BE25" s="23">
        <f t="shared" si="61"/>
        <v>2</v>
      </c>
      <c r="BF25" s="23" t="str">
        <f t="shared" si="61"/>
        <v/>
      </c>
      <c r="BG25" s="23" t="str">
        <f t="shared" si="61"/>
        <v/>
      </c>
      <c r="BH25" s="23" t="str">
        <f t="shared" si="61"/>
        <v/>
      </c>
      <c r="BI25" s="23" t="str">
        <f t="shared" si="61"/>
        <v/>
      </c>
      <c r="BJ25" s="23" t="str">
        <f t="shared" si="62"/>
        <v/>
      </c>
      <c r="BK25" s="23" t="str">
        <f t="shared" si="62"/>
        <v/>
      </c>
      <c r="BL25" s="23" t="str">
        <f t="shared" si="62"/>
        <v/>
      </c>
      <c r="BM25" s="23" t="str">
        <f t="shared" si="62"/>
        <v/>
      </c>
      <c r="BN25" s="23" t="str">
        <f t="shared" si="62"/>
        <v/>
      </c>
      <c r="BO25" s="23" t="str">
        <f t="shared" si="62"/>
        <v/>
      </c>
      <c r="BP25" s="23" t="str">
        <f t="shared" si="62"/>
        <v/>
      </c>
      <c r="BQ25" s="23" t="str">
        <f t="shared" si="62"/>
        <v/>
      </c>
      <c r="BR25" s="23" t="str">
        <f t="shared" si="62"/>
        <v/>
      </c>
      <c r="BS25" s="23" t="str">
        <f t="shared" si="62"/>
        <v/>
      </c>
      <c r="BT25" s="23" t="str">
        <f t="shared" si="63"/>
        <v/>
      </c>
      <c r="BU25" s="23" t="str">
        <f t="shared" si="63"/>
        <v/>
      </c>
      <c r="BV25" s="23" t="str">
        <f t="shared" si="63"/>
        <v/>
      </c>
      <c r="BW25" s="23" t="str">
        <f t="shared" si="63"/>
        <v/>
      </c>
      <c r="BX25" s="23" t="str">
        <f t="shared" si="63"/>
        <v/>
      </c>
      <c r="BY25" s="23" t="str">
        <f t="shared" si="63"/>
        <v/>
      </c>
      <c r="BZ25" s="23" t="str">
        <f t="shared" si="63"/>
        <v/>
      </c>
      <c r="CA25" s="23" t="str">
        <f t="shared" si="63"/>
        <v/>
      </c>
      <c r="CB25" s="23" t="str">
        <f t="shared" si="63"/>
        <v/>
      </c>
      <c r="CC25" s="23" t="str">
        <f t="shared" si="63"/>
        <v/>
      </c>
      <c r="CD25" s="23" t="str">
        <f t="shared" si="64"/>
        <v/>
      </c>
      <c r="CE25" s="23" t="str">
        <f t="shared" si="64"/>
        <v/>
      </c>
      <c r="CF25" s="23" t="str">
        <f t="shared" si="64"/>
        <v/>
      </c>
      <c r="CG25" s="23" t="str">
        <f t="shared" si="64"/>
        <v/>
      </c>
      <c r="CH25" s="23" t="str">
        <f t="shared" si="64"/>
        <v/>
      </c>
      <c r="CI25" s="23" t="str">
        <f t="shared" si="64"/>
        <v/>
      </c>
      <c r="CJ25" s="23" t="str">
        <f t="shared" si="64"/>
        <v/>
      </c>
      <c r="CK25" s="23" t="str">
        <f t="shared" si="64"/>
        <v/>
      </c>
      <c r="CL25" s="23" t="str">
        <f t="shared" si="64"/>
        <v/>
      </c>
      <c r="CM25" s="23" t="str">
        <f t="shared" si="64"/>
        <v/>
      </c>
      <c r="CN25" s="23" t="str">
        <f t="shared" si="65"/>
        <v/>
      </c>
      <c r="CO25" s="23" t="str">
        <f t="shared" si="65"/>
        <v/>
      </c>
      <c r="CP25" s="23" t="str">
        <f t="shared" si="65"/>
        <v/>
      </c>
      <c r="CQ25" s="23" t="str">
        <f t="shared" si="65"/>
        <v/>
      </c>
      <c r="CR25" s="23" t="str">
        <f t="shared" si="65"/>
        <v/>
      </c>
      <c r="CS25" s="23" t="str">
        <f t="shared" si="65"/>
        <v/>
      </c>
      <c r="CT25" s="23" t="str">
        <f t="shared" si="65"/>
        <v/>
      </c>
      <c r="CU25" s="23" t="str">
        <f t="shared" si="65"/>
        <v/>
      </c>
      <c r="CV25" s="23" t="str">
        <f t="shared" si="65"/>
        <v/>
      </c>
      <c r="CW25" s="23" t="str">
        <f t="shared" si="65"/>
        <v/>
      </c>
      <c r="CX25" s="23" t="str">
        <f t="shared" si="66"/>
        <v/>
      </c>
      <c r="CY25" s="23" t="str">
        <f t="shared" si="66"/>
        <v/>
      </c>
      <c r="CZ25" s="23" t="str">
        <f t="shared" si="66"/>
        <v/>
      </c>
      <c r="DA25" s="23" t="str">
        <f t="shared" si="66"/>
        <v/>
      </c>
      <c r="DB25" s="23" t="str">
        <f t="shared" si="66"/>
        <v/>
      </c>
      <c r="DC25" s="23" t="str">
        <f t="shared" si="66"/>
        <v/>
      </c>
      <c r="DD25" s="23" t="str">
        <f t="shared" si="66"/>
        <v/>
      </c>
      <c r="DE25" s="23" t="str">
        <f t="shared" si="66"/>
        <v/>
      </c>
      <c r="DF25" s="23" t="str">
        <f t="shared" si="66"/>
        <v/>
      </c>
      <c r="DG25" s="23" t="str">
        <f t="shared" si="66"/>
        <v/>
      </c>
      <c r="DH25" s="23" t="str">
        <f t="shared" si="66"/>
        <v/>
      </c>
      <c r="DI25" s="23" t="str">
        <f t="shared" si="66"/>
        <v/>
      </c>
      <c r="DJ25" s="23" t="str">
        <f t="shared" si="66"/>
        <v/>
      </c>
      <c r="DK25" s="23" t="str">
        <f t="shared" si="66"/>
        <v/>
      </c>
      <c r="DO25" s="61">
        <f t="shared" si="53"/>
        <v>20</v>
      </c>
      <c r="DP25" s="61">
        <f>IF($A25&lt;&gt;"x",$L25*SUMIFS($AF25:$DK25,$AF$4:$DK$4,Jahresscheiben!C$2),0)</f>
        <v>0</v>
      </c>
      <c r="DQ25" s="61">
        <f>IF($A25&lt;&gt;"x",$L25*SUMIFS($AF25:$DK25,$AF$4:$DK$4,Jahresscheiben!D$2),0)</f>
        <v>0</v>
      </c>
      <c r="DR25" s="61">
        <f>IF($A25&lt;&gt;"x",$L25*SUMIFS($AF25:$DK25,$AF$4:$DK$4,Jahresscheiben!E$2),0)</f>
        <v>0</v>
      </c>
      <c r="DS25" s="61">
        <f>IF($A25&lt;&gt;"x",$L25*SUMIFS($AF25:$DK25,$AF$4:$DK$4,Jahresscheiben!F$2),0)</f>
        <v>0</v>
      </c>
      <c r="DT25" s="61">
        <f>IF($A25&lt;&gt;"x",$L25*SUMIFS($AF25:$DK25,$AF$4:$DK$4,Jahresscheiben!G$2),0)</f>
        <v>0</v>
      </c>
      <c r="DU25" s="61">
        <f>IF($A25&lt;&gt;"x",$L25*SUMIFS($AF25:$DK25,$AF$4:$DK$4,Jahresscheiben!H$2),0)</f>
        <v>0</v>
      </c>
      <c r="DV25" s="61">
        <f>IF($A25&lt;&gt;"x",$L25*SUMIFS($AF25:$DK25,$AF$4:$DK$4,Jahresscheiben!I$2),0)</f>
        <v>0</v>
      </c>
      <c r="DW25" s="85"/>
      <c r="DX25" s="61">
        <f t="shared" si="54"/>
        <v>20</v>
      </c>
      <c r="DY25" s="85">
        <f>IF($A25="x",$L25*SUMIFS($AF25:$DK25,$AF$4:$DK$4,Jahresscheiben!C$2)/2,0)</f>
        <v>0</v>
      </c>
      <c r="DZ25" s="85">
        <f>IF($A25="x",$L25*SUMIFS($AF25:$DK25,$AF$4:$DK$4,Jahresscheiben!D$2)/2,0)</f>
        <v>6</v>
      </c>
      <c r="EA25" s="85">
        <f>IF($A25="x",$L25*SUMIFS($AF25:$DK25,$AF$4:$DK$4,Jahresscheiben!E$2)/2,0)</f>
        <v>12</v>
      </c>
      <c r="EB25" s="85">
        <f>IF($A25="x",$L25*SUMIFS($AF25:$DK25,$AF$4:$DK$4,Jahresscheiben!F$2)/2,0)</f>
        <v>0</v>
      </c>
      <c r="EC25" s="85">
        <f>IF($A25="x",$L25*SUMIFS($AF25:$DK25,$AF$4:$DK$4,Jahresscheiben!G$2)/2,0)</f>
        <v>0</v>
      </c>
      <c r="ED25" s="85">
        <f>IF($A25="x",$L25*SUMIFS($AF25:$DK25,$AF$4:$DK$4,Jahresscheiben!H$2)/2,0)</f>
        <v>0</v>
      </c>
      <c r="EE25" s="85">
        <f>IF($A25="x",$L25*SUMIFS($AF25:$DK25,$AF$4:$DK$4,Jahresscheiben!I$2)/2,0)</f>
        <v>0</v>
      </c>
      <c r="EF25" s="85"/>
      <c r="EG25" s="61">
        <f t="shared" si="55"/>
        <v>20</v>
      </c>
      <c r="EH25" s="85" cm="1">
        <f t="array" ref="EH2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25" s="85" cm="1">
        <f t="array" ref="EI2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1.0045045045045047</v>
      </c>
      <c r="EJ25" s="85" cm="1">
        <f t="array" ref="EJ2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1.5438871473354232</v>
      </c>
      <c r="EK25" s="85" cm="1">
        <f t="array" ref="EK2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25" s="85" cm="1">
        <f t="array" ref="EL2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25" s="85" cm="1">
        <f t="array" ref="EM2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25" s="85" cm="1">
        <f t="array" ref="EN2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25" s="85"/>
      <c r="EQ25" s="61">
        <f t="shared" si="56"/>
        <v>20</v>
      </c>
      <c r="ER25" s="62">
        <f>IF($A25&lt;&gt;"x",$P25*SUMIFS($AF25:$DK25,$AF$4:$DK$4,Jahresscheiben!C$2),0)</f>
        <v>0</v>
      </c>
      <c r="ES25" s="62">
        <f>IF($A25&lt;&gt;"x",$P25*SUMIFS($AF25:$DK25,$AF$4:$DK$4,Jahresscheiben!D$2),0)</f>
        <v>0</v>
      </c>
      <c r="ET25" s="62">
        <f>IF($A25&lt;&gt;"x",$P25*SUMIFS($AF25:$DK25,$AF$4:$DK$4,Jahresscheiben!E$2),0)</f>
        <v>0</v>
      </c>
      <c r="EU25" s="62">
        <f>IF($A25&lt;&gt;"x",$P25*SUMIFS($AF25:$DK25,$AF$4:$DK$4,Jahresscheiben!F$2),0)</f>
        <v>0</v>
      </c>
      <c r="EV25" s="62">
        <f>IF($A25&lt;&gt;"x",$P25*SUMIFS($AF25:$DK25,$AF$4:$DK$4,Jahresscheiben!G$2),0)</f>
        <v>0</v>
      </c>
      <c r="EW25" s="62">
        <f>IF($A25&lt;&gt;"x",$P25*SUMIFS($AF25:$DK25,$AF$4:$DK$4,Jahresscheiben!H$2),0)</f>
        <v>0</v>
      </c>
      <c r="EX25" s="62">
        <f>IF($A25&lt;&gt;"x",$P25*SUMIFS($AF25:$DK25,$AF$4:$DK$4,Jahresscheiben!I$2),0)</f>
        <v>0</v>
      </c>
      <c r="EY25" s="85"/>
      <c r="EZ25" s="61">
        <f t="shared" si="57"/>
        <v>20</v>
      </c>
      <c r="FA25" s="85">
        <f>IF($A25="x",$P25*SUMIFS($AF25:$DK25,$AF$4:$DK$4,Jahresscheiben!C$2)/2,0)</f>
        <v>0</v>
      </c>
      <c r="FB25" s="85">
        <f>IF($A25="x",$P25*SUMIFS($AF25:$DK25,$AF$4:$DK$4,Jahresscheiben!D$2)/2,0)</f>
        <v>6</v>
      </c>
      <c r="FC25" s="85">
        <f>IF($A25="x",$P25*SUMIFS($AF25:$DK25,$AF$4:$DK$4,Jahresscheiben!E$2)/2,0)</f>
        <v>12</v>
      </c>
      <c r="FD25" s="85">
        <f>IF($A25="x",$P25*SUMIFS($AF25:$DK25,$AF$4:$DK$4,Jahresscheiben!F$2)/2,0)</f>
        <v>0</v>
      </c>
      <c r="FE25" s="85">
        <f>IF($A25="x",$P25*SUMIFS($AF25:$DK25,$AF$4:$DK$4,Jahresscheiben!G$2)/2,0)</f>
        <v>0</v>
      </c>
      <c r="FF25" s="85">
        <f>IF($A25="x",$P25*SUMIFS($AF25:$DK25,$AF$4:$DK$4,Jahresscheiben!H$2)/2,0)</f>
        <v>0</v>
      </c>
      <c r="FG25" s="85">
        <f>IF($A25="x",$P25*SUMIFS($AF25:$DK25,$AF$4:$DK$4,Jahresscheiben!I$2)/2,0)</f>
        <v>0</v>
      </c>
      <c r="FH25" s="85"/>
      <c r="FI25" s="61">
        <f t="shared" si="58"/>
        <v>20</v>
      </c>
      <c r="FJ25" s="85" cm="1">
        <f t="array" ref="FJ2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25" s="85" cm="1">
        <f t="array" ref="FK2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1.0045045045045047</v>
      </c>
      <c r="FL25" s="85" cm="1">
        <f t="array" ref="FL2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1.5438871473354232</v>
      </c>
      <c r="FM25" s="85" cm="1">
        <f t="array" ref="FM2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25" s="85" cm="1">
        <f t="array" ref="FN2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25" s="85" cm="1">
        <f t="array" ref="FO2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25" s="85" cm="1">
        <f t="array" ref="FP2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26" spans="1:172" ht="17" customHeight="1" thickBot="1" x14ac:dyDescent="0.55000000000000004">
      <c r="A26" s="30"/>
      <c r="B26" s="31">
        <f t="shared" si="50"/>
        <v>134</v>
      </c>
      <c r="C26" s="22">
        <f t="shared" si="51"/>
        <v>21</v>
      </c>
      <c r="D26" s="71" t="s">
        <v>69</v>
      </c>
      <c r="E26" s="7"/>
      <c r="F26" s="7">
        <v>24</v>
      </c>
      <c r="G26" s="7">
        <v>36</v>
      </c>
      <c r="H26" s="7"/>
      <c r="I26" s="6">
        <f t="shared" si="40"/>
        <v>46752</v>
      </c>
      <c r="J26" s="6">
        <f t="shared" si="41"/>
        <v>47118</v>
      </c>
      <c r="K26" s="7"/>
      <c r="L26" s="53">
        <v>8</v>
      </c>
      <c r="M26" s="60" cm="1">
        <f t="array" ref="M26" xml:space="preserve">
_xlfn.LET(
_xlpm.Z, _xlfn._xlws.FILTER($DY$6:$EE$65,$DX$6:$DX$65=C26),
_xlpm.Q,_xlfn._xlws.FILTER($DP$6:$DV$65,$DO$6:$DO$65=C26),
IF($A26="x",SUMPRODUCT(_xlpm.Z,$DY$73:$EE$73,EH26:EN26),SUMPRODUCT(_xlpm.Q,$DP$73:$DV$73)))</f>
        <v>0</v>
      </c>
      <c r="N26" s="54" t="str" cm="1">
        <f t="array" ref="N26" xml:space="preserve">
_xlfn.LET(
_xlpm.Z, SUM(IF($A26="x",_xlfn._xlws.FILTER($M$6:$M$65,$A$6:$A$65="x"),_xlfn._xlws.FILTER($M$6:$M$65,$A$6:$A$65&lt;&gt;"x"))),
IF(_xlpm.Z&lt;&gt;0,M26/_xlpm.Z,""))</f>
        <v/>
      </c>
      <c r="O26" s="7"/>
      <c r="P26" s="53">
        <f t="shared" si="52"/>
        <v>8</v>
      </c>
      <c r="Q26" s="60" cm="1">
        <f t="array" ref="Q26" xml:space="preserve">
_xlfn.LET(
_xlpm.Z, _xlfn._xlws.FILTER($FA$6:$FG$65,$EZ$6:$EZ$65=C26),
_xlpm.Q,_xlfn._xlws.FILTER($ER$6:$EX$65,$EQ$6:$EQ$65=C26),
IF($A26="x",SUMPRODUCT(_xlpm.Z,$FA$73:$FG$73,FJ26:FP26),SUMPRODUCT(_xlpm.Q,$ER$73:$EX$73)))</f>
        <v>0</v>
      </c>
      <c r="R26" s="54" t="str" cm="1">
        <f t="array" ref="R26" xml:space="preserve">
_xlfn.LET(
_xlpm.Z, SUM(IF($A26="x",_xlfn._xlws.FILTER($Q$6:$Q$65,$A$6:$A$65="x"),_xlfn._xlws.FILTER($Q$6:$Q$65,$A$6:$A$65&lt;&gt;"x"))),
IF(_xlpm.Z&lt;&gt;0,Q26/_xlpm.Z,""))</f>
        <v/>
      </c>
      <c r="S26" s="7"/>
      <c r="T26" s="6"/>
      <c r="U26" s="6"/>
      <c r="V26" s="6"/>
      <c r="W26" s="6"/>
      <c r="X26" s="6"/>
      <c r="Y26" s="6"/>
      <c r="Z26" s="6"/>
      <c r="AA26" s="6"/>
      <c r="AB26" s="6"/>
      <c r="AC26" s="6"/>
      <c r="AD26" s="7"/>
      <c r="AE26" s="7"/>
      <c r="AF26" s="23" t="str">
        <f t="shared" ref="AF26:AO53" si="67">_xlfn.LET(
_xlpm.project_monat,AF$3,
_xlpm.start_monat,$F26,
_xlpm.ende_monat,$G26,
IF(AND(_xlpm.project_monat&gt;=_xlpm.start_monat,_xlpm.project_monat&lt;=_xlpm.ende_monat),IF($A26="x",2,1),""))</f>
        <v/>
      </c>
      <c r="AG26" s="23" t="str">
        <f t="shared" si="67"/>
        <v/>
      </c>
      <c r="AH26" s="23" t="str">
        <f t="shared" si="67"/>
        <v/>
      </c>
      <c r="AI26" s="23" t="str">
        <f t="shared" si="67"/>
        <v/>
      </c>
      <c r="AJ26" s="23" t="str">
        <f t="shared" si="67"/>
        <v/>
      </c>
      <c r="AK26" s="23" t="str">
        <f t="shared" si="67"/>
        <v/>
      </c>
      <c r="AL26" s="23" t="str">
        <f t="shared" si="67"/>
        <v/>
      </c>
      <c r="AM26" s="23" t="str">
        <f t="shared" si="67"/>
        <v/>
      </c>
      <c r="AN26" s="23" t="str">
        <f t="shared" si="67"/>
        <v/>
      </c>
      <c r="AO26" s="23" t="str">
        <f t="shared" si="67"/>
        <v/>
      </c>
      <c r="AP26" s="23" t="str">
        <f t="shared" ref="AP26:AY53" si="68">_xlfn.LET(
_xlpm.project_monat,AP$3,
_xlpm.start_monat,$F26,
_xlpm.ende_monat,$G26,
IF(AND(_xlpm.project_monat&gt;=_xlpm.start_monat,_xlpm.project_monat&lt;=_xlpm.ende_monat),IF($A26="x",2,1),""))</f>
        <v/>
      </c>
      <c r="AQ26" s="23" t="str">
        <f t="shared" si="68"/>
        <v/>
      </c>
      <c r="AR26" s="23" t="str">
        <f t="shared" si="68"/>
        <v/>
      </c>
      <c r="AS26" s="23" t="str">
        <f t="shared" si="68"/>
        <v/>
      </c>
      <c r="AT26" s="23" t="str">
        <f t="shared" si="68"/>
        <v/>
      </c>
      <c r="AU26" s="23" t="str">
        <f t="shared" si="68"/>
        <v/>
      </c>
      <c r="AV26" s="23" t="str">
        <f t="shared" si="68"/>
        <v/>
      </c>
      <c r="AW26" s="23" t="str">
        <f t="shared" si="68"/>
        <v/>
      </c>
      <c r="AX26" s="23" t="str">
        <f t="shared" si="68"/>
        <v/>
      </c>
      <c r="AY26" s="23" t="str">
        <f t="shared" si="68"/>
        <v/>
      </c>
      <c r="AZ26" s="23" t="str">
        <f t="shared" ref="AZ26:BI53" si="69">_xlfn.LET(
_xlpm.project_monat,AZ$3,
_xlpm.start_monat,$F26,
_xlpm.ende_monat,$G26,
IF(AND(_xlpm.project_monat&gt;=_xlpm.start_monat,_xlpm.project_monat&lt;=_xlpm.ende_monat),IF($A26="x",2,1),""))</f>
        <v/>
      </c>
      <c r="BA26" s="23" t="str">
        <f t="shared" si="69"/>
        <v/>
      </c>
      <c r="BB26" s="23" t="str">
        <f t="shared" si="69"/>
        <v/>
      </c>
      <c r="BC26" s="23">
        <f t="shared" si="69"/>
        <v>1</v>
      </c>
      <c r="BD26" s="23">
        <f t="shared" si="69"/>
        <v>1</v>
      </c>
      <c r="BE26" s="23">
        <f t="shared" si="69"/>
        <v>1</v>
      </c>
      <c r="BF26" s="23">
        <f t="shared" si="69"/>
        <v>1</v>
      </c>
      <c r="BG26" s="23">
        <f t="shared" si="69"/>
        <v>1</v>
      </c>
      <c r="BH26" s="23">
        <f t="shared" si="69"/>
        <v>1</v>
      </c>
      <c r="BI26" s="23">
        <f t="shared" si="69"/>
        <v>1</v>
      </c>
      <c r="BJ26" s="23">
        <f t="shared" ref="BJ26:BS53" si="70">_xlfn.LET(
_xlpm.project_monat,BJ$3,
_xlpm.start_monat,$F26,
_xlpm.ende_monat,$G26,
IF(AND(_xlpm.project_monat&gt;=_xlpm.start_monat,_xlpm.project_monat&lt;=_xlpm.ende_monat),IF($A26="x",2,1),""))</f>
        <v>1</v>
      </c>
      <c r="BK26" s="23">
        <f t="shared" si="70"/>
        <v>1</v>
      </c>
      <c r="BL26" s="23">
        <f t="shared" si="70"/>
        <v>1</v>
      </c>
      <c r="BM26" s="23">
        <f t="shared" si="70"/>
        <v>1</v>
      </c>
      <c r="BN26" s="23">
        <f t="shared" si="70"/>
        <v>1</v>
      </c>
      <c r="BO26" s="23">
        <f t="shared" si="70"/>
        <v>1</v>
      </c>
      <c r="BP26" s="23" t="str">
        <f t="shared" si="70"/>
        <v/>
      </c>
      <c r="BQ26" s="23" t="str">
        <f t="shared" si="70"/>
        <v/>
      </c>
      <c r="BR26" s="23" t="str">
        <f t="shared" si="70"/>
        <v/>
      </c>
      <c r="BS26" s="23" t="str">
        <f t="shared" si="70"/>
        <v/>
      </c>
      <c r="BT26" s="23" t="str">
        <f t="shared" ref="BT26:CC53" si="71">_xlfn.LET(
_xlpm.project_monat,BT$3,
_xlpm.start_monat,$F26,
_xlpm.ende_monat,$G26,
IF(AND(_xlpm.project_monat&gt;=_xlpm.start_monat,_xlpm.project_monat&lt;=_xlpm.ende_monat),IF($A26="x",2,1),""))</f>
        <v/>
      </c>
      <c r="BU26" s="23" t="str">
        <f t="shared" si="71"/>
        <v/>
      </c>
      <c r="BV26" s="23" t="str">
        <f t="shared" si="71"/>
        <v/>
      </c>
      <c r="BW26" s="23" t="str">
        <f t="shared" si="71"/>
        <v/>
      </c>
      <c r="BX26" s="23" t="str">
        <f t="shared" si="71"/>
        <v/>
      </c>
      <c r="BY26" s="23" t="str">
        <f t="shared" si="71"/>
        <v/>
      </c>
      <c r="BZ26" s="23" t="str">
        <f t="shared" si="71"/>
        <v/>
      </c>
      <c r="CA26" s="23" t="str">
        <f t="shared" si="71"/>
        <v/>
      </c>
      <c r="CB26" s="23" t="str">
        <f t="shared" si="71"/>
        <v/>
      </c>
      <c r="CC26" s="23" t="str">
        <f t="shared" si="71"/>
        <v/>
      </c>
      <c r="CD26" s="23" t="str">
        <f t="shared" ref="CD26:CR53" si="72">_xlfn.LET(
_xlpm.project_monat,CD$3,
_xlpm.start_monat,$F26,
_xlpm.ende_monat,$G26,
IF(AND(_xlpm.project_monat&gt;=_xlpm.start_monat,_xlpm.project_monat&lt;=_xlpm.ende_monat),IF($A26="x",2,1),""))</f>
        <v/>
      </c>
      <c r="CE26" s="23" t="str">
        <f t="shared" si="72"/>
        <v/>
      </c>
      <c r="CF26" s="23" t="str">
        <f t="shared" si="72"/>
        <v/>
      </c>
      <c r="CG26" s="23" t="str">
        <f t="shared" si="72"/>
        <v/>
      </c>
      <c r="CH26" s="23" t="str">
        <f t="shared" si="72"/>
        <v/>
      </c>
      <c r="CI26" s="23" t="str">
        <f t="shared" si="72"/>
        <v/>
      </c>
      <c r="CJ26" s="23" t="str">
        <f t="shared" si="72"/>
        <v/>
      </c>
      <c r="CK26" s="23" t="str">
        <f t="shared" si="72"/>
        <v/>
      </c>
      <c r="CL26" s="23" t="str">
        <f t="shared" si="72"/>
        <v/>
      </c>
      <c r="CM26" s="23" t="str">
        <f t="shared" si="72"/>
        <v/>
      </c>
      <c r="CN26" s="23" t="str">
        <f t="shared" ref="CN26:DC53" si="73">_xlfn.LET(
_xlpm.project_monat,CN$3,
_xlpm.start_monat,$F26,
_xlpm.ende_monat,$G26,
IF(AND(_xlpm.project_monat&gt;=_xlpm.start_monat,_xlpm.project_monat&lt;=_xlpm.ende_monat),IF($A26="x",2,1),""))</f>
        <v/>
      </c>
      <c r="CO26" s="23" t="str">
        <f t="shared" si="73"/>
        <v/>
      </c>
      <c r="CP26" s="23" t="str">
        <f t="shared" si="73"/>
        <v/>
      </c>
      <c r="CQ26" s="23" t="str">
        <f t="shared" si="73"/>
        <v/>
      </c>
      <c r="CR26" s="23" t="str">
        <f t="shared" si="73"/>
        <v/>
      </c>
      <c r="CS26" s="23" t="str">
        <f t="shared" si="73"/>
        <v/>
      </c>
      <c r="CT26" s="23" t="str">
        <f t="shared" si="73"/>
        <v/>
      </c>
      <c r="CU26" s="23" t="str">
        <f t="shared" si="73"/>
        <v/>
      </c>
      <c r="CV26" s="23" t="str">
        <f t="shared" si="73"/>
        <v/>
      </c>
      <c r="CW26" s="23" t="str">
        <f t="shared" si="73"/>
        <v/>
      </c>
      <c r="CX26" s="23" t="str">
        <f t="shared" ref="CX26:DK53" si="74">_xlfn.LET(
_xlpm.project_monat,CX$3,
_xlpm.start_monat,$F26,
_xlpm.ende_monat,$G26,
IF(AND(_xlpm.project_monat&gt;=_xlpm.start_monat,_xlpm.project_monat&lt;=_xlpm.ende_monat),IF($A26="x",2,1),""))</f>
        <v/>
      </c>
      <c r="CY26" s="23" t="str">
        <f t="shared" si="74"/>
        <v/>
      </c>
      <c r="CZ26" s="23" t="str">
        <f t="shared" si="74"/>
        <v/>
      </c>
      <c r="DA26" s="23" t="str">
        <f t="shared" si="74"/>
        <v/>
      </c>
      <c r="DB26" s="23" t="str">
        <f t="shared" si="74"/>
        <v/>
      </c>
      <c r="DC26" s="23" t="str">
        <f t="shared" si="74"/>
        <v/>
      </c>
      <c r="DD26" s="23" t="str">
        <f t="shared" si="74"/>
        <v/>
      </c>
      <c r="DE26" s="23" t="str">
        <f t="shared" si="74"/>
        <v/>
      </c>
      <c r="DF26" s="23" t="str">
        <f t="shared" si="74"/>
        <v/>
      </c>
      <c r="DG26" s="23" t="str">
        <f t="shared" si="74"/>
        <v/>
      </c>
      <c r="DH26" s="23" t="str">
        <f t="shared" si="74"/>
        <v/>
      </c>
      <c r="DI26" s="23" t="str">
        <f t="shared" si="74"/>
        <v/>
      </c>
      <c r="DJ26" s="23" t="str">
        <f t="shared" si="74"/>
        <v/>
      </c>
      <c r="DK26" s="23" t="str">
        <f t="shared" si="74"/>
        <v/>
      </c>
      <c r="DO26" s="61">
        <f t="shared" si="53"/>
        <v>21</v>
      </c>
      <c r="DP26" s="61">
        <f>IF($A26&lt;&gt;"x",$L26*SUMIFS($AF26:$DK26,$AF$4:$DK$4,Jahresscheiben!C$2),0)</f>
        <v>0</v>
      </c>
      <c r="DQ26" s="61">
        <f>IF($A26&lt;&gt;"x",$L26*SUMIFS($AF26:$DK26,$AF$4:$DK$4,Jahresscheiben!D$2),0)</f>
        <v>8</v>
      </c>
      <c r="DR26" s="61">
        <f>IF($A26&lt;&gt;"x",$L26*SUMIFS($AF26:$DK26,$AF$4:$DK$4,Jahresscheiben!E$2),0)</f>
        <v>96</v>
      </c>
      <c r="DS26" s="61">
        <f>IF($A26&lt;&gt;"x",$L26*SUMIFS($AF26:$DK26,$AF$4:$DK$4,Jahresscheiben!F$2),0)</f>
        <v>0</v>
      </c>
      <c r="DT26" s="61">
        <f>IF($A26&lt;&gt;"x",$L26*SUMIFS($AF26:$DK26,$AF$4:$DK$4,Jahresscheiben!G$2),0)</f>
        <v>0</v>
      </c>
      <c r="DU26" s="61">
        <f>IF($A26&lt;&gt;"x",$L26*SUMIFS($AF26:$DK26,$AF$4:$DK$4,Jahresscheiben!H$2),0)</f>
        <v>0</v>
      </c>
      <c r="DV26" s="61">
        <f>IF($A26&lt;&gt;"x",$L26*SUMIFS($AF26:$DK26,$AF$4:$DK$4,Jahresscheiben!I$2),0)</f>
        <v>0</v>
      </c>
      <c r="DW26" s="85"/>
      <c r="DX26" s="61">
        <f t="shared" si="54"/>
        <v>21</v>
      </c>
      <c r="DY26" s="85">
        <f>IF($A26="x",$L26*SUMIFS($AF26:$DK26,$AF$4:$DK$4,Jahresscheiben!C$2)/2,0)</f>
        <v>0</v>
      </c>
      <c r="DZ26" s="85">
        <f>IF($A26="x",$L26*SUMIFS($AF26:$DK26,$AF$4:$DK$4,Jahresscheiben!D$2)/2,0)</f>
        <v>0</v>
      </c>
      <c r="EA26" s="85">
        <f>IF($A26="x",$L26*SUMIFS($AF26:$DK26,$AF$4:$DK$4,Jahresscheiben!E$2)/2,0)</f>
        <v>0</v>
      </c>
      <c r="EB26" s="85">
        <f>IF($A26="x",$L26*SUMIFS($AF26:$DK26,$AF$4:$DK$4,Jahresscheiben!F$2)/2,0)</f>
        <v>0</v>
      </c>
      <c r="EC26" s="85">
        <f>IF($A26="x",$L26*SUMIFS($AF26:$DK26,$AF$4:$DK$4,Jahresscheiben!G$2)/2,0)</f>
        <v>0</v>
      </c>
      <c r="ED26" s="85">
        <f>IF($A26="x",$L26*SUMIFS($AF26:$DK26,$AF$4:$DK$4,Jahresscheiben!H$2)/2,0)</f>
        <v>0</v>
      </c>
      <c r="EE26" s="85">
        <f>IF($A26="x",$L26*SUMIFS($AF26:$DK26,$AF$4:$DK$4,Jahresscheiben!I$2)/2,0)</f>
        <v>0</v>
      </c>
      <c r="EF26" s="85"/>
      <c r="EG26" s="61">
        <f t="shared" si="55"/>
        <v>21</v>
      </c>
      <c r="EH26" s="85" cm="1">
        <f t="array" ref="EH2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26" s="85" cm="1">
        <f t="array" ref="EI2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0</v>
      </c>
      <c r="EJ26" s="85" cm="1">
        <f t="array" ref="EJ2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</v>
      </c>
      <c r="EK26" s="85" cm="1">
        <f t="array" ref="EK2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26" s="85" cm="1">
        <f t="array" ref="EL2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26" s="85" cm="1">
        <f t="array" ref="EM2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26" s="85" cm="1">
        <f t="array" ref="EN2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26" s="85"/>
      <c r="EQ26" s="61">
        <f t="shared" si="56"/>
        <v>21</v>
      </c>
      <c r="ER26" s="62">
        <f>IF($A26&lt;&gt;"x",$P26*SUMIFS($AF26:$DK26,$AF$4:$DK$4,Jahresscheiben!C$2),0)</f>
        <v>0</v>
      </c>
      <c r="ES26" s="62">
        <f>IF($A26&lt;&gt;"x",$P26*SUMIFS($AF26:$DK26,$AF$4:$DK$4,Jahresscheiben!D$2),0)</f>
        <v>8</v>
      </c>
      <c r="ET26" s="62">
        <f>IF($A26&lt;&gt;"x",$P26*SUMIFS($AF26:$DK26,$AF$4:$DK$4,Jahresscheiben!E$2),0)</f>
        <v>96</v>
      </c>
      <c r="EU26" s="62">
        <f>IF($A26&lt;&gt;"x",$P26*SUMIFS($AF26:$DK26,$AF$4:$DK$4,Jahresscheiben!F$2),0)</f>
        <v>0</v>
      </c>
      <c r="EV26" s="62">
        <f>IF($A26&lt;&gt;"x",$P26*SUMIFS($AF26:$DK26,$AF$4:$DK$4,Jahresscheiben!G$2),0)</f>
        <v>0</v>
      </c>
      <c r="EW26" s="62">
        <f>IF($A26&lt;&gt;"x",$P26*SUMIFS($AF26:$DK26,$AF$4:$DK$4,Jahresscheiben!H$2),0)</f>
        <v>0</v>
      </c>
      <c r="EX26" s="62">
        <f>IF($A26&lt;&gt;"x",$P26*SUMIFS($AF26:$DK26,$AF$4:$DK$4,Jahresscheiben!I$2),0)</f>
        <v>0</v>
      </c>
      <c r="EY26" s="85"/>
      <c r="EZ26" s="61">
        <f t="shared" si="57"/>
        <v>21</v>
      </c>
      <c r="FA26" s="85">
        <f>IF($A26="x",$P26*SUMIFS($AF26:$DK26,$AF$4:$DK$4,Jahresscheiben!C$2)/2,0)</f>
        <v>0</v>
      </c>
      <c r="FB26" s="85">
        <f>IF($A26="x",$P26*SUMIFS($AF26:$DK26,$AF$4:$DK$4,Jahresscheiben!D$2)/2,0)</f>
        <v>0</v>
      </c>
      <c r="FC26" s="85">
        <f>IF($A26="x",$P26*SUMIFS($AF26:$DK26,$AF$4:$DK$4,Jahresscheiben!E$2)/2,0)</f>
        <v>0</v>
      </c>
      <c r="FD26" s="85">
        <f>IF($A26="x",$P26*SUMIFS($AF26:$DK26,$AF$4:$DK$4,Jahresscheiben!F$2)/2,0)</f>
        <v>0</v>
      </c>
      <c r="FE26" s="85">
        <f>IF($A26="x",$P26*SUMIFS($AF26:$DK26,$AF$4:$DK$4,Jahresscheiben!G$2)/2,0)</f>
        <v>0</v>
      </c>
      <c r="FF26" s="85">
        <f>IF($A26="x",$P26*SUMIFS($AF26:$DK26,$AF$4:$DK$4,Jahresscheiben!H$2)/2,0)</f>
        <v>0</v>
      </c>
      <c r="FG26" s="85">
        <f>IF($A26="x",$P26*SUMIFS($AF26:$DK26,$AF$4:$DK$4,Jahresscheiben!I$2)/2,0)</f>
        <v>0</v>
      </c>
      <c r="FH26" s="85"/>
      <c r="FI26" s="61">
        <f t="shared" si="58"/>
        <v>21</v>
      </c>
      <c r="FJ26" s="85" cm="1">
        <f t="array" ref="FJ2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26" s="85" cm="1">
        <f t="array" ref="FK2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0</v>
      </c>
      <c r="FL26" s="85" cm="1">
        <f t="array" ref="FL2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</v>
      </c>
      <c r="FM26" s="85" cm="1">
        <f t="array" ref="FM2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26" s="85" cm="1">
        <f t="array" ref="FN2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26" s="85" cm="1">
        <f t="array" ref="FO2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26" s="85" cm="1">
        <f t="array" ref="FP2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27" spans="1:172" ht="17" customHeight="1" thickBot="1" x14ac:dyDescent="0.55000000000000004">
      <c r="A27" s="30" t="s">
        <v>24</v>
      </c>
      <c r="B27" s="31">
        <f t="shared" si="50"/>
        <v>146</v>
      </c>
      <c r="C27" s="22">
        <f t="shared" si="51"/>
        <v>22</v>
      </c>
      <c r="D27" s="71" t="s">
        <v>70</v>
      </c>
      <c r="E27" s="26"/>
      <c r="F27" s="26">
        <v>24</v>
      </c>
      <c r="G27" s="26">
        <v>31</v>
      </c>
      <c r="H27" s="26"/>
      <c r="I27" s="6">
        <f t="shared" si="40"/>
        <v>46752</v>
      </c>
      <c r="J27" s="6">
        <f t="shared" si="41"/>
        <v>46965</v>
      </c>
      <c r="K27" s="26"/>
      <c r="L27" s="53">
        <v>8</v>
      </c>
      <c r="M27" s="60" cm="1">
        <f t="array" ref="M27" xml:space="preserve">
_xlfn.LET(
_xlpm.Z, _xlfn._xlws.FILTER($DY$6:$EE$65,$DX$6:$DX$65=C27),
_xlpm.Q,_xlfn._xlws.FILTER($DP$6:$DV$65,$DO$6:$DO$65=C27),
IF($A27="x",SUMPRODUCT(_xlpm.Z,$DY$73:$EE$73,EH27:EN27),SUMPRODUCT(_xlpm.Q,$DP$73:$DV$73)))</f>
        <v>0</v>
      </c>
      <c r="N27" s="54" t="str" cm="1">
        <f t="array" ref="N27" xml:space="preserve">
_xlfn.LET(
_xlpm.Z, SUM(IF($A27="x",_xlfn._xlws.FILTER($M$6:$M$65,$A$6:$A$65="x"),_xlfn._xlws.FILTER($M$6:$M$65,$A$6:$A$65&lt;&gt;"x"))),
IF(_xlpm.Z&lt;&gt;0,M27/_xlpm.Z,""))</f>
        <v/>
      </c>
      <c r="O27" s="26"/>
      <c r="P27" s="53">
        <f t="shared" si="52"/>
        <v>8</v>
      </c>
      <c r="Q27" s="60" cm="1">
        <f t="array" ref="Q27" xml:space="preserve">
_xlfn.LET(
_xlpm.Z, _xlfn._xlws.FILTER($FA$6:$FG$65,$EZ$6:$EZ$65=C27),
_xlpm.Q,_xlfn._xlws.FILTER($ER$6:$EX$65,$EQ$6:$EQ$65=C27),
IF($A27="x",SUMPRODUCT(_xlpm.Z,$FA$73:$FG$73,FJ27:FP27),SUMPRODUCT(_xlpm.Q,$ER$73:$EX$73)))</f>
        <v>0</v>
      </c>
      <c r="R27" s="54" t="str" cm="1">
        <f t="array" ref="R27" xml:space="preserve">
_xlfn.LET(
_xlpm.Z, SUM(IF($A27="x",_xlfn._xlws.FILTER($Q$6:$Q$65,$A$6:$A$65="x"),_xlfn._xlws.FILTER($Q$6:$Q$65,$A$6:$A$65&lt;&gt;"x"))),
IF(_xlpm.Z&lt;&gt;0,Q27/_xlpm.Z,""))</f>
        <v/>
      </c>
      <c r="S27" s="26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8"/>
      <c r="AE27" s="28"/>
      <c r="AF27" s="23" t="str">
        <f t="shared" si="67"/>
        <v/>
      </c>
      <c r="AG27" s="23" t="str">
        <f t="shared" si="67"/>
        <v/>
      </c>
      <c r="AH27" s="23" t="str">
        <f t="shared" si="67"/>
        <v/>
      </c>
      <c r="AI27" s="23" t="str">
        <f t="shared" si="67"/>
        <v/>
      </c>
      <c r="AJ27" s="23" t="str">
        <f t="shared" si="67"/>
        <v/>
      </c>
      <c r="AK27" s="23" t="str">
        <f t="shared" si="67"/>
        <v/>
      </c>
      <c r="AL27" s="23" t="str">
        <f t="shared" si="67"/>
        <v/>
      </c>
      <c r="AM27" s="23" t="str">
        <f t="shared" si="67"/>
        <v/>
      </c>
      <c r="AN27" s="23" t="str">
        <f t="shared" si="67"/>
        <v/>
      </c>
      <c r="AO27" s="23" t="str">
        <f t="shared" si="67"/>
        <v/>
      </c>
      <c r="AP27" s="23" t="str">
        <f t="shared" si="68"/>
        <v/>
      </c>
      <c r="AQ27" s="23" t="str">
        <f t="shared" si="68"/>
        <v/>
      </c>
      <c r="AR27" s="23" t="str">
        <f t="shared" si="68"/>
        <v/>
      </c>
      <c r="AS27" s="23" t="str">
        <f t="shared" si="68"/>
        <v/>
      </c>
      <c r="AT27" s="23" t="str">
        <f t="shared" si="68"/>
        <v/>
      </c>
      <c r="AU27" s="23" t="str">
        <f t="shared" si="68"/>
        <v/>
      </c>
      <c r="AV27" s="23" t="str">
        <f t="shared" si="68"/>
        <v/>
      </c>
      <c r="AW27" s="23" t="str">
        <f t="shared" si="68"/>
        <v/>
      </c>
      <c r="AX27" s="23" t="str">
        <f t="shared" si="68"/>
        <v/>
      </c>
      <c r="AY27" s="23" t="str">
        <f t="shared" si="68"/>
        <v/>
      </c>
      <c r="AZ27" s="23" t="str">
        <f t="shared" si="69"/>
        <v/>
      </c>
      <c r="BA27" s="23" t="str">
        <f t="shared" si="69"/>
        <v/>
      </c>
      <c r="BB27" s="23" t="str">
        <f t="shared" si="69"/>
        <v/>
      </c>
      <c r="BC27" s="23">
        <f t="shared" si="69"/>
        <v>2</v>
      </c>
      <c r="BD27" s="23">
        <f t="shared" si="69"/>
        <v>2</v>
      </c>
      <c r="BE27" s="23">
        <f t="shared" si="69"/>
        <v>2</v>
      </c>
      <c r="BF27" s="23">
        <f t="shared" si="69"/>
        <v>2</v>
      </c>
      <c r="BG27" s="23">
        <f t="shared" si="69"/>
        <v>2</v>
      </c>
      <c r="BH27" s="23">
        <f t="shared" si="69"/>
        <v>2</v>
      </c>
      <c r="BI27" s="23">
        <f t="shared" si="69"/>
        <v>2</v>
      </c>
      <c r="BJ27" s="23">
        <f t="shared" si="70"/>
        <v>2</v>
      </c>
      <c r="BK27" s="23" t="str">
        <f t="shared" si="70"/>
        <v/>
      </c>
      <c r="BL27" s="23" t="str">
        <f t="shared" si="70"/>
        <v/>
      </c>
      <c r="BM27" s="23" t="str">
        <f t="shared" si="70"/>
        <v/>
      </c>
      <c r="BN27" s="23" t="str">
        <f t="shared" si="70"/>
        <v/>
      </c>
      <c r="BO27" s="23" t="str">
        <f t="shared" si="70"/>
        <v/>
      </c>
      <c r="BP27" s="23" t="str">
        <f t="shared" si="70"/>
        <v/>
      </c>
      <c r="BQ27" s="23" t="str">
        <f t="shared" si="70"/>
        <v/>
      </c>
      <c r="BR27" s="23" t="str">
        <f t="shared" si="70"/>
        <v/>
      </c>
      <c r="BS27" s="23" t="str">
        <f t="shared" si="70"/>
        <v/>
      </c>
      <c r="BT27" s="23" t="str">
        <f t="shared" si="71"/>
        <v/>
      </c>
      <c r="BU27" s="23" t="str">
        <f t="shared" si="71"/>
        <v/>
      </c>
      <c r="BV27" s="23" t="str">
        <f t="shared" si="71"/>
        <v/>
      </c>
      <c r="BW27" s="23" t="str">
        <f t="shared" si="71"/>
        <v/>
      </c>
      <c r="BX27" s="23" t="str">
        <f t="shared" si="71"/>
        <v/>
      </c>
      <c r="BY27" s="23" t="str">
        <f t="shared" si="71"/>
        <v/>
      </c>
      <c r="BZ27" s="23" t="str">
        <f t="shared" si="71"/>
        <v/>
      </c>
      <c r="CA27" s="23" t="str">
        <f t="shared" si="71"/>
        <v/>
      </c>
      <c r="CB27" s="23" t="str">
        <f t="shared" si="71"/>
        <v/>
      </c>
      <c r="CC27" s="23" t="str">
        <f t="shared" si="71"/>
        <v/>
      </c>
      <c r="CD27" s="23" t="str">
        <f t="shared" si="72"/>
        <v/>
      </c>
      <c r="CE27" s="23" t="str">
        <f t="shared" si="72"/>
        <v/>
      </c>
      <c r="CF27" s="23" t="str">
        <f t="shared" si="72"/>
        <v/>
      </c>
      <c r="CG27" s="23" t="str">
        <f t="shared" si="72"/>
        <v/>
      </c>
      <c r="CH27" s="23" t="str">
        <f t="shared" si="72"/>
        <v/>
      </c>
      <c r="CI27" s="23" t="str">
        <f t="shared" si="72"/>
        <v/>
      </c>
      <c r="CJ27" s="23" t="str">
        <f t="shared" si="72"/>
        <v/>
      </c>
      <c r="CK27" s="23" t="str">
        <f t="shared" si="72"/>
        <v/>
      </c>
      <c r="CL27" s="23" t="str">
        <f t="shared" si="72"/>
        <v/>
      </c>
      <c r="CM27" s="23" t="str">
        <f t="shared" si="72"/>
        <v/>
      </c>
      <c r="CN27" s="23" t="str">
        <f t="shared" si="73"/>
        <v/>
      </c>
      <c r="CO27" s="23" t="str">
        <f t="shared" si="73"/>
        <v/>
      </c>
      <c r="CP27" s="23" t="str">
        <f t="shared" si="73"/>
        <v/>
      </c>
      <c r="CQ27" s="23" t="str">
        <f t="shared" si="73"/>
        <v/>
      </c>
      <c r="CR27" s="23" t="str">
        <f t="shared" si="73"/>
        <v/>
      </c>
      <c r="CS27" s="23" t="str">
        <f t="shared" si="73"/>
        <v/>
      </c>
      <c r="CT27" s="23" t="str">
        <f t="shared" si="73"/>
        <v/>
      </c>
      <c r="CU27" s="23" t="str">
        <f t="shared" si="73"/>
        <v/>
      </c>
      <c r="CV27" s="23" t="str">
        <f t="shared" si="73"/>
        <v/>
      </c>
      <c r="CW27" s="23" t="str">
        <f t="shared" si="73"/>
        <v/>
      </c>
      <c r="CX27" s="23" t="str">
        <f t="shared" si="74"/>
        <v/>
      </c>
      <c r="CY27" s="23" t="str">
        <f t="shared" si="74"/>
        <v/>
      </c>
      <c r="CZ27" s="23" t="str">
        <f t="shared" si="74"/>
        <v/>
      </c>
      <c r="DA27" s="23" t="str">
        <f t="shared" si="74"/>
        <v/>
      </c>
      <c r="DB27" s="23" t="str">
        <f t="shared" si="74"/>
        <v/>
      </c>
      <c r="DC27" s="23" t="str">
        <f t="shared" si="74"/>
        <v/>
      </c>
      <c r="DD27" s="23" t="str">
        <f t="shared" si="74"/>
        <v/>
      </c>
      <c r="DE27" s="23" t="str">
        <f t="shared" si="74"/>
        <v/>
      </c>
      <c r="DF27" s="23" t="str">
        <f t="shared" si="74"/>
        <v/>
      </c>
      <c r="DG27" s="23" t="str">
        <f t="shared" si="74"/>
        <v/>
      </c>
      <c r="DH27" s="23" t="str">
        <f t="shared" si="74"/>
        <v/>
      </c>
      <c r="DI27" s="23" t="str">
        <f t="shared" si="74"/>
        <v/>
      </c>
      <c r="DJ27" s="23" t="str">
        <f t="shared" si="74"/>
        <v/>
      </c>
      <c r="DK27" s="23" t="str">
        <f t="shared" si="74"/>
        <v/>
      </c>
      <c r="DO27" s="61">
        <f t="shared" si="53"/>
        <v>22</v>
      </c>
      <c r="DP27" s="61">
        <f>IF($A27&lt;&gt;"x",$L27*SUMIFS($AF27:$DK27,$AF$4:$DK$4,Jahresscheiben!C$2),0)</f>
        <v>0</v>
      </c>
      <c r="DQ27" s="61">
        <f>IF($A27&lt;&gt;"x",$L27*SUMIFS($AF27:$DK27,$AF$4:$DK$4,Jahresscheiben!D$2),0)</f>
        <v>0</v>
      </c>
      <c r="DR27" s="61">
        <f>IF($A27&lt;&gt;"x",$L27*SUMIFS($AF27:$DK27,$AF$4:$DK$4,Jahresscheiben!E$2),0)</f>
        <v>0</v>
      </c>
      <c r="DS27" s="61">
        <f>IF($A27&lt;&gt;"x",$L27*SUMIFS($AF27:$DK27,$AF$4:$DK$4,Jahresscheiben!F$2),0)</f>
        <v>0</v>
      </c>
      <c r="DT27" s="61">
        <f>IF($A27&lt;&gt;"x",$L27*SUMIFS($AF27:$DK27,$AF$4:$DK$4,Jahresscheiben!G$2),0)</f>
        <v>0</v>
      </c>
      <c r="DU27" s="61">
        <f>IF($A27&lt;&gt;"x",$L27*SUMIFS($AF27:$DK27,$AF$4:$DK$4,Jahresscheiben!H$2),0)</f>
        <v>0</v>
      </c>
      <c r="DV27" s="61">
        <f>IF($A27&lt;&gt;"x",$L27*SUMIFS($AF27:$DK27,$AF$4:$DK$4,Jahresscheiben!I$2),0)</f>
        <v>0</v>
      </c>
      <c r="DW27" s="85"/>
      <c r="DX27" s="61">
        <f t="shared" si="54"/>
        <v>22</v>
      </c>
      <c r="DY27" s="85">
        <f>IF($A27="x",$L27*SUMIFS($AF27:$DK27,$AF$4:$DK$4,Jahresscheiben!C$2)/2,0)</f>
        <v>0</v>
      </c>
      <c r="DZ27" s="85">
        <f>IF($A27="x",$L27*SUMIFS($AF27:$DK27,$AF$4:$DK$4,Jahresscheiben!D$2)/2,0)</f>
        <v>8</v>
      </c>
      <c r="EA27" s="85">
        <f>IF($A27="x",$L27*SUMIFS($AF27:$DK27,$AF$4:$DK$4,Jahresscheiben!E$2)/2,0)</f>
        <v>56</v>
      </c>
      <c r="EB27" s="85">
        <f>IF($A27="x",$L27*SUMIFS($AF27:$DK27,$AF$4:$DK$4,Jahresscheiben!F$2)/2,0)</f>
        <v>0</v>
      </c>
      <c r="EC27" s="85">
        <f>IF($A27="x",$L27*SUMIFS($AF27:$DK27,$AF$4:$DK$4,Jahresscheiben!G$2)/2,0)</f>
        <v>0</v>
      </c>
      <c r="ED27" s="85">
        <f>IF($A27="x",$L27*SUMIFS($AF27:$DK27,$AF$4:$DK$4,Jahresscheiben!H$2)/2,0)</f>
        <v>0</v>
      </c>
      <c r="EE27" s="85">
        <f>IF($A27="x",$L27*SUMIFS($AF27:$DK27,$AF$4:$DK$4,Jahresscheiben!I$2)/2,0)</f>
        <v>0</v>
      </c>
      <c r="EF27" s="85"/>
      <c r="EG27" s="61">
        <f t="shared" si="55"/>
        <v>22</v>
      </c>
      <c r="EH27" s="85" cm="1">
        <f t="array" ref="EH2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27" s="85" cm="1">
        <f t="array" ref="EI2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27" s="85" cm="1">
        <f t="array" ref="EJ2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27" s="85" cm="1">
        <f t="array" ref="EK2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27" s="85" cm="1">
        <f t="array" ref="EL2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27" s="85" cm="1">
        <f t="array" ref="EM2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27" s="85" cm="1">
        <f t="array" ref="EN2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27" s="85"/>
      <c r="EQ27" s="61">
        <f t="shared" si="56"/>
        <v>22</v>
      </c>
      <c r="ER27" s="62">
        <f>IF($A27&lt;&gt;"x",$P27*SUMIFS($AF27:$DK27,$AF$4:$DK$4,Jahresscheiben!C$2),0)</f>
        <v>0</v>
      </c>
      <c r="ES27" s="62">
        <f>IF($A27&lt;&gt;"x",$P27*SUMIFS($AF27:$DK27,$AF$4:$DK$4,Jahresscheiben!D$2),0)</f>
        <v>0</v>
      </c>
      <c r="ET27" s="62">
        <f>IF($A27&lt;&gt;"x",$P27*SUMIFS($AF27:$DK27,$AF$4:$DK$4,Jahresscheiben!E$2),0)</f>
        <v>0</v>
      </c>
      <c r="EU27" s="62">
        <f>IF($A27&lt;&gt;"x",$P27*SUMIFS($AF27:$DK27,$AF$4:$DK$4,Jahresscheiben!F$2),0)</f>
        <v>0</v>
      </c>
      <c r="EV27" s="62">
        <f>IF($A27&lt;&gt;"x",$P27*SUMIFS($AF27:$DK27,$AF$4:$DK$4,Jahresscheiben!G$2),0)</f>
        <v>0</v>
      </c>
      <c r="EW27" s="62">
        <f>IF($A27&lt;&gt;"x",$P27*SUMIFS($AF27:$DK27,$AF$4:$DK$4,Jahresscheiben!H$2),0)</f>
        <v>0</v>
      </c>
      <c r="EX27" s="62">
        <f>IF($A27&lt;&gt;"x",$P27*SUMIFS($AF27:$DK27,$AF$4:$DK$4,Jahresscheiben!I$2),0)</f>
        <v>0</v>
      </c>
      <c r="EY27" s="85"/>
      <c r="EZ27" s="61">
        <f t="shared" si="57"/>
        <v>22</v>
      </c>
      <c r="FA27" s="85">
        <f>IF($A27="x",$P27*SUMIFS($AF27:$DK27,$AF$4:$DK$4,Jahresscheiben!C$2)/2,0)</f>
        <v>0</v>
      </c>
      <c r="FB27" s="85">
        <f>IF($A27="x",$P27*SUMIFS($AF27:$DK27,$AF$4:$DK$4,Jahresscheiben!D$2)/2,0)</f>
        <v>8</v>
      </c>
      <c r="FC27" s="85">
        <f>IF($A27="x",$P27*SUMIFS($AF27:$DK27,$AF$4:$DK$4,Jahresscheiben!E$2)/2,0)</f>
        <v>56</v>
      </c>
      <c r="FD27" s="85">
        <f>IF($A27="x",$P27*SUMIFS($AF27:$DK27,$AF$4:$DK$4,Jahresscheiben!F$2)/2,0)</f>
        <v>0</v>
      </c>
      <c r="FE27" s="85">
        <f>IF($A27="x",$P27*SUMIFS($AF27:$DK27,$AF$4:$DK$4,Jahresscheiben!G$2)/2,0)</f>
        <v>0</v>
      </c>
      <c r="FF27" s="85">
        <f>IF($A27="x",$P27*SUMIFS($AF27:$DK27,$AF$4:$DK$4,Jahresscheiben!H$2)/2,0)</f>
        <v>0</v>
      </c>
      <c r="FG27" s="85">
        <f>IF($A27="x",$P27*SUMIFS($AF27:$DK27,$AF$4:$DK$4,Jahresscheiben!I$2)/2,0)</f>
        <v>0</v>
      </c>
      <c r="FH27" s="85"/>
      <c r="FI27" s="61">
        <f t="shared" si="58"/>
        <v>22</v>
      </c>
      <c r="FJ27" s="85" cm="1">
        <f t="array" ref="FJ2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27" s="85" cm="1">
        <f t="array" ref="FK2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27" s="85" cm="1">
        <f t="array" ref="FL2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27" s="85" cm="1">
        <f t="array" ref="FM2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27" s="85" cm="1">
        <f t="array" ref="FN2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27" s="85" cm="1">
        <f t="array" ref="FO2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27" s="85" cm="1">
        <f t="array" ref="FP2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28" spans="1:172" ht="17" customHeight="1" thickBot="1" x14ac:dyDescent="0.55000000000000004">
      <c r="A28" s="30" t="s">
        <v>24</v>
      </c>
      <c r="B28" s="31">
        <f t="shared" si="50"/>
        <v>150</v>
      </c>
      <c r="C28" s="22">
        <f t="shared" si="51"/>
        <v>23</v>
      </c>
      <c r="D28" s="71" t="s">
        <v>71</v>
      </c>
      <c r="E28" s="26"/>
      <c r="F28" s="26">
        <v>27</v>
      </c>
      <c r="G28" s="26">
        <v>34</v>
      </c>
      <c r="H28" s="26"/>
      <c r="I28" s="6">
        <f t="shared" si="40"/>
        <v>46843</v>
      </c>
      <c r="J28" s="6">
        <f t="shared" si="41"/>
        <v>47057</v>
      </c>
      <c r="K28" s="26"/>
      <c r="L28" s="53">
        <v>6</v>
      </c>
      <c r="M28" s="60" cm="1">
        <f t="array" ref="M28" xml:space="preserve">
_xlfn.LET(
_xlpm.Z, _xlfn._xlws.FILTER($DY$6:$EE$65,$DX$6:$DX$65=C28),
_xlpm.Q,_xlfn._xlws.FILTER($DP$6:$DV$65,$DO$6:$DO$65=C28),
IF($A28="x",SUMPRODUCT(_xlpm.Z,$DY$73:$EE$73,EH28:EN28),SUMPRODUCT(_xlpm.Q,$DP$73:$DV$73)))</f>
        <v>0</v>
      </c>
      <c r="N28" s="54" t="str" cm="1">
        <f t="array" ref="N28" xml:space="preserve">
_xlfn.LET(
_xlpm.Z, SUM(IF($A28="x",_xlfn._xlws.FILTER($M$6:$M$65,$A$6:$A$65="x"),_xlfn._xlws.FILTER($M$6:$M$65,$A$6:$A$65&lt;&gt;"x"))),
IF(_xlpm.Z&lt;&gt;0,M28/_xlpm.Z,""))</f>
        <v/>
      </c>
      <c r="O28" s="26"/>
      <c r="P28" s="53">
        <f t="shared" si="52"/>
        <v>6</v>
      </c>
      <c r="Q28" s="60" cm="1">
        <f t="array" ref="Q28" xml:space="preserve">
_xlfn.LET(
_xlpm.Z, _xlfn._xlws.FILTER($FA$6:$FG$65,$EZ$6:$EZ$65=C28),
_xlpm.Q,_xlfn._xlws.FILTER($ER$6:$EX$65,$EQ$6:$EQ$65=C28),
IF($A28="x",SUMPRODUCT(_xlpm.Z,$FA$73:$FG$73,FJ28:FP28),SUMPRODUCT(_xlpm.Q,$ER$73:$EX$73)))</f>
        <v>0</v>
      </c>
      <c r="R28" s="54" t="str" cm="1">
        <f t="array" ref="R28" xml:space="preserve">
_xlfn.LET(
_xlpm.Z, SUM(IF($A28="x",_xlfn._xlws.FILTER($Q$6:$Q$65,$A$6:$A$65="x"),_xlfn._xlws.FILTER($Q$6:$Q$65,$A$6:$A$65&lt;&gt;"x"))),
IF(_xlpm.Z&lt;&gt;0,Q28/_xlpm.Z,""))</f>
        <v/>
      </c>
      <c r="S28" s="26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8"/>
      <c r="AE28" s="28"/>
      <c r="AF28" s="23" t="str">
        <f t="shared" si="67"/>
        <v/>
      </c>
      <c r="AG28" s="23" t="str">
        <f t="shared" si="67"/>
        <v/>
      </c>
      <c r="AH28" s="23" t="str">
        <f t="shared" si="67"/>
        <v/>
      </c>
      <c r="AI28" s="23" t="str">
        <f t="shared" si="67"/>
        <v/>
      </c>
      <c r="AJ28" s="23" t="str">
        <f t="shared" si="67"/>
        <v/>
      </c>
      <c r="AK28" s="23" t="str">
        <f t="shared" si="67"/>
        <v/>
      </c>
      <c r="AL28" s="23" t="str">
        <f t="shared" si="67"/>
        <v/>
      </c>
      <c r="AM28" s="23" t="str">
        <f t="shared" si="67"/>
        <v/>
      </c>
      <c r="AN28" s="23" t="str">
        <f t="shared" si="67"/>
        <v/>
      </c>
      <c r="AO28" s="23" t="str">
        <f t="shared" si="67"/>
        <v/>
      </c>
      <c r="AP28" s="23" t="str">
        <f t="shared" si="68"/>
        <v/>
      </c>
      <c r="AQ28" s="23" t="str">
        <f t="shared" si="68"/>
        <v/>
      </c>
      <c r="AR28" s="23" t="str">
        <f t="shared" si="68"/>
        <v/>
      </c>
      <c r="AS28" s="23" t="str">
        <f t="shared" si="68"/>
        <v/>
      </c>
      <c r="AT28" s="23" t="str">
        <f t="shared" si="68"/>
        <v/>
      </c>
      <c r="AU28" s="23" t="str">
        <f t="shared" si="68"/>
        <v/>
      </c>
      <c r="AV28" s="23" t="str">
        <f t="shared" si="68"/>
        <v/>
      </c>
      <c r="AW28" s="23" t="str">
        <f t="shared" si="68"/>
        <v/>
      </c>
      <c r="AX28" s="23" t="str">
        <f t="shared" si="68"/>
        <v/>
      </c>
      <c r="AY28" s="23" t="str">
        <f t="shared" si="68"/>
        <v/>
      </c>
      <c r="AZ28" s="23" t="str">
        <f t="shared" si="69"/>
        <v/>
      </c>
      <c r="BA28" s="23" t="str">
        <f t="shared" si="69"/>
        <v/>
      </c>
      <c r="BB28" s="23" t="str">
        <f t="shared" si="69"/>
        <v/>
      </c>
      <c r="BC28" s="23" t="str">
        <f t="shared" si="69"/>
        <v/>
      </c>
      <c r="BD28" s="23" t="str">
        <f t="shared" si="69"/>
        <v/>
      </c>
      <c r="BE28" s="23" t="str">
        <f t="shared" si="69"/>
        <v/>
      </c>
      <c r="BF28" s="23">
        <f t="shared" si="69"/>
        <v>2</v>
      </c>
      <c r="BG28" s="23">
        <f t="shared" si="69"/>
        <v>2</v>
      </c>
      <c r="BH28" s="23">
        <f t="shared" si="69"/>
        <v>2</v>
      </c>
      <c r="BI28" s="23">
        <f t="shared" si="69"/>
        <v>2</v>
      </c>
      <c r="BJ28" s="23">
        <f t="shared" si="70"/>
        <v>2</v>
      </c>
      <c r="BK28" s="23">
        <f t="shared" si="70"/>
        <v>2</v>
      </c>
      <c r="BL28" s="23">
        <f t="shared" si="70"/>
        <v>2</v>
      </c>
      <c r="BM28" s="23">
        <f t="shared" si="70"/>
        <v>2</v>
      </c>
      <c r="BN28" s="23" t="str">
        <f t="shared" si="70"/>
        <v/>
      </c>
      <c r="BO28" s="23" t="str">
        <f t="shared" si="70"/>
        <v/>
      </c>
      <c r="BP28" s="23" t="str">
        <f t="shared" si="70"/>
        <v/>
      </c>
      <c r="BQ28" s="23" t="str">
        <f t="shared" si="70"/>
        <v/>
      </c>
      <c r="BR28" s="23" t="str">
        <f t="shared" si="70"/>
        <v/>
      </c>
      <c r="BS28" s="23" t="str">
        <f t="shared" si="70"/>
        <v/>
      </c>
      <c r="BT28" s="23" t="str">
        <f t="shared" si="71"/>
        <v/>
      </c>
      <c r="BU28" s="23" t="str">
        <f t="shared" si="71"/>
        <v/>
      </c>
      <c r="BV28" s="23" t="str">
        <f t="shared" si="71"/>
        <v/>
      </c>
      <c r="BW28" s="23" t="str">
        <f t="shared" si="71"/>
        <v/>
      </c>
      <c r="BX28" s="23" t="str">
        <f t="shared" si="71"/>
        <v/>
      </c>
      <c r="BY28" s="23" t="str">
        <f t="shared" si="71"/>
        <v/>
      </c>
      <c r="BZ28" s="23" t="str">
        <f t="shared" si="71"/>
        <v/>
      </c>
      <c r="CA28" s="23" t="str">
        <f t="shared" si="71"/>
        <v/>
      </c>
      <c r="CB28" s="23" t="str">
        <f t="shared" si="71"/>
        <v/>
      </c>
      <c r="CC28" s="23" t="str">
        <f t="shared" si="71"/>
        <v/>
      </c>
      <c r="CD28" s="23" t="str">
        <f t="shared" si="72"/>
        <v/>
      </c>
      <c r="CE28" s="23" t="str">
        <f t="shared" si="72"/>
        <v/>
      </c>
      <c r="CF28" s="23" t="str">
        <f t="shared" si="72"/>
        <v/>
      </c>
      <c r="CG28" s="23" t="str">
        <f t="shared" si="72"/>
        <v/>
      </c>
      <c r="CH28" s="23" t="str">
        <f t="shared" si="72"/>
        <v/>
      </c>
      <c r="CI28" s="23" t="str">
        <f t="shared" si="72"/>
        <v/>
      </c>
      <c r="CJ28" s="23" t="str">
        <f t="shared" si="72"/>
        <v/>
      </c>
      <c r="CK28" s="23" t="str">
        <f t="shared" si="72"/>
        <v/>
      </c>
      <c r="CL28" s="23" t="str">
        <f t="shared" si="72"/>
        <v/>
      </c>
      <c r="CM28" s="23" t="str">
        <f t="shared" si="72"/>
        <v/>
      </c>
      <c r="CN28" s="23" t="str">
        <f t="shared" si="73"/>
        <v/>
      </c>
      <c r="CO28" s="23" t="str">
        <f t="shared" si="73"/>
        <v/>
      </c>
      <c r="CP28" s="23" t="str">
        <f t="shared" si="73"/>
        <v/>
      </c>
      <c r="CQ28" s="23" t="str">
        <f t="shared" si="73"/>
        <v/>
      </c>
      <c r="CR28" s="23" t="str">
        <f t="shared" si="73"/>
        <v/>
      </c>
      <c r="CS28" s="23" t="str">
        <f t="shared" si="73"/>
        <v/>
      </c>
      <c r="CT28" s="23" t="str">
        <f t="shared" si="73"/>
        <v/>
      </c>
      <c r="CU28" s="23" t="str">
        <f t="shared" si="73"/>
        <v/>
      </c>
      <c r="CV28" s="23" t="str">
        <f t="shared" si="73"/>
        <v/>
      </c>
      <c r="CW28" s="23" t="str">
        <f t="shared" si="73"/>
        <v/>
      </c>
      <c r="CX28" s="23" t="str">
        <f t="shared" si="74"/>
        <v/>
      </c>
      <c r="CY28" s="23" t="str">
        <f t="shared" si="74"/>
        <v/>
      </c>
      <c r="CZ28" s="23" t="str">
        <f t="shared" si="74"/>
        <v/>
      </c>
      <c r="DA28" s="23" t="str">
        <f t="shared" si="74"/>
        <v/>
      </c>
      <c r="DB28" s="23" t="str">
        <f t="shared" si="74"/>
        <v/>
      </c>
      <c r="DC28" s="23" t="str">
        <f t="shared" si="74"/>
        <v/>
      </c>
      <c r="DD28" s="23" t="str">
        <f t="shared" si="74"/>
        <v/>
      </c>
      <c r="DE28" s="23" t="str">
        <f t="shared" si="74"/>
        <v/>
      </c>
      <c r="DF28" s="23" t="str">
        <f t="shared" si="74"/>
        <v/>
      </c>
      <c r="DG28" s="23" t="str">
        <f t="shared" si="74"/>
        <v/>
      </c>
      <c r="DH28" s="23" t="str">
        <f t="shared" si="74"/>
        <v/>
      </c>
      <c r="DI28" s="23" t="str">
        <f t="shared" si="74"/>
        <v/>
      </c>
      <c r="DJ28" s="23" t="str">
        <f t="shared" si="74"/>
        <v/>
      </c>
      <c r="DK28" s="23" t="str">
        <f t="shared" si="74"/>
        <v/>
      </c>
      <c r="DO28" s="61">
        <f t="shared" si="53"/>
        <v>23</v>
      </c>
      <c r="DP28" s="61">
        <f>IF($A28&lt;&gt;"x",$L28*SUMIFS($AF28:$DK28,$AF$4:$DK$4,Jahresscheiben!C$2),0)</f>
        <v>0</v>
      </c>
      <c r="DQ28" s="61">
        <f>IF($A28&lt;&gt;"x",$L28*SUMIFS($AF28:$DK28,$AF$4:$DK$4,Jahresscheiben!D$2),0)</f>
        <v>0</v>
      </c>
      <c r="DR28" s="61">
        <f>IF($A28&lt;&gt;"x",$L28*SUMIFS($AF28:$DK28,$AF$4:$DK$4,Jahresscheiben!E$2),0)</f>
        <v>0</v>
      </c>
      <c r="DS28" s="61">
        <f>IF($A28&lt;&gt;"x",$L28*SUMIFS($AF28:$DK28,$AF$4:$DK$4,Jahresscheiben!F$2),0)</f>
        <v>0</v>
      </c>
      <c r="DT28" s="61">
        <f>IF($A28&lt;&gt;"x",$L28*SUMIFS($AF28:$DK28,$AF$4:$DK$4,Jahresscheiben!G$2),0)</f>
        <v>0</v>
      </c>
      <c r="DU28" s="61">
        <f>IF($A28&lt;&gt;"x",$L28*SUMIFS($AF28:$DK28,$AF$4:$DK$4,Jahresscheiben!H$2),0)</f>
        <v>0</v>
      </c>
      <c r="DV28" s="61">
        <f>IF($A28&lt;&gt;"x",$L28*SUMIFS($AF28:$DK28,$AF$4:$DK$4,Jahresscheiben!I$2),0)</f>
        <v>0</v>
      </c>
      <c r="DW28" s="85"/>
      <c r="DX28" s="61">
        <f t="shared" si="54"/>
        <v>23</v>
      </c>
      <c r="DY28" s="85">
        <f>IF($A28="x",$L28*SUMIFS($AF28:$DK28,$AF$4:$DK$4,Jahresscheiben!C$2)/2,0)</f>
        <v>0</v>
      </c>
      <c r="DZ28" s="85">
        <f>IF($A28="x",$L28*SUMIFS($AF28:$DK28,$AF$4:$DK$4,Jahresscheiben!D$2)/2,0)</f>
        <v>0</v>
      </c>
      <c r="EA28" s="85">
        <f>IF($A28="x",$L28*SUMIFS($AF28:$DK28,$AF$4:$DK$4,Jahresscheiben!E$2)/2,0)</f>
        <v>48</v>
      </c>
      <c r="EB28" s="85">
        <f>IF($A28="x",$L28*SUMIFS($AF28:$DK28,$AF$4:$DK$4,Jahresscheiben!F$2)/2,0)</f>
        <v>0</v>
      </c>
      <c r="EC28" s="85">
        <f>IF($A28="x",$L28*SUMIFS($AF28:$DK28,$AF$4:$DK$4,Jahresscheiben!G$2)/2,0)</f>
        <v>0</v>
      </c>
      <c r="ED28" s="85">
        <f>IF($A28="x",$L28*SUMIFS($AF28:$DK28,$AF$4:$DK$4,Jahresscheiben!H$2)/2,0)</f>
        <v>0</v>
      </c>
      <c r="EE28" s="85">
        <f>IF($A28="x",$L28*SUMIFS($AF28:$DK28,$AF$4:$DK$4,Jahresscheiben!I$2)/2,0)</f>
        <v>0</v>
      </c>
      <c r="EF28" s="85"/>
      <c r="EG28" s="61">
        <f t="shared" si="55"/>
        <v>23</v>
      </c>
      <c r="EH28" s="85" cm="1">
        <f t="array" ref="EH2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28" s="85" cm="1">
        <f t="array" ref="EI2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28" s="85" cm="1">
        <f t="array" ref="EJ2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28" s="85" cm="1">
        <f t="array" ref="EK2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28" s="85" cm="1">
        <f t="array" ref="EL2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28" s="85" cm="1">
        <f t="array" ref="EM2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28" s="85" cm="1">
        <f t="array" ref="EN2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28" s="85"/>
      <c r="EQ28" s="61">
        <f t="shared" si="56"/>
        <v>23</v>
      </c>
      <c r="ER28" s="62">
        <f>IF($A28&lt;&gt;"x",$P28*SUMIFS($AF28:$DK28,$AF$4:$DK$4,Jahresscheiben!C$2),0)</f>
        <v>0</v>
      </c>
      <c r="ES28" s="62">
        <f>IF($A28&lt;&gt;"x",$P28*SUMIFS($AF28:$DK28,$AF$4:$DK$4,Jahresscheiben!D$2),0)</f>
        <v>0</v>
      </c>
      <c r="ET28" s="62">
        <f>IF($A28&lt;&gt;"x",$P28*SUMIFS($AF28:$DK28,$AF$4:$DK$4,Jahresscheiben!E$2),0)</f>
        <v>0</v>
      </c>
      <c r="EU28" s="62">
        <f>IF($A28&lt;&gt;"x",$P28*SUMIFS($AF28:$DK28,$AF$4:$DK$4,Jahresscheiben!F$2),0)</f>
        <v>0</v>
      </c>
      <c r="EV28" s="62">
        <f>IF($A28&lt;&gt;"x",$P28*SUMIFS($AF28:$DK28,$AF$4:$DK$4,Jahresscheiben!G$2),0)</f>
        <v>0</v>
      </c>
      <c r="EW28" s="62">
        <f>IF($A28&lt;&gt;"x",$P28*SUMIFS($AF28:$DK28,$AF$4:$DK$4,Jahresscheiben!H$2),0)</f>
        <v>0</v>
      </c>
      <c r="EX28" s="62">
        <f>IF($A28&lt;&gt;"x",$P28*SUMIFS($AF28:$DK28,$AF$4:$DK$4,Jahresscheiben!I$2),0)</f>
        <v>0</v>
      </c>
      <c r="EY28" s="85"/>
      <c r="EZ28" s="61">
        <f t="shared" si="57"/>
        <v>23</v>
      </c>
      <c r="FA28" s="85">
        <f>IF($A28="x",$P28*SUMIFS($AF28:$DK28,$AF$4:$DK$4,Jahresscheiben!C$2)/2,0)</f>
        <v>0</v>
      </c>
      <c r="FB28" s="85">
        <f>IF($A28="x",$P28*SUMIFS($AF28:$DK28,$AF$4:$DK$4,Jahresscheiben!D$2)/2,0)</f>
        <v>0</v>
      </c>
      <c r="FC28" s="85">
        <f>IF($A28="x",$P28*SUMIFS($AF28:$DK28,$AF$4:$DK$4,Jahresscheiben!E$2)/2,0)</f>
        <v>48</v>
      </c>
      <c r="FD28" s="85">
        <f>IF($A28="x",$P28*SUMIFS($AF28:$DK28,$AF$4:$DK$4,Jahresscheiben!F$2)/2,0)</f>
        <v>0</v>
      </c>
      <c r="FE28" s="85">
        <f>IF($A28="x",$P28*SUMIFS($AF28:$DK28,$AF$4:$DK$4,Jahresscheiben!G$2)/2,0)</f>
        <v>0</v>
      </c>
      <c r="FF28" s="85">
        <f>IF($A28="x",$P28*SUMIFS($AF28:$DK28,$AF$4:$DK$4,Jahresscheiben!H$2)/2,0)</f>
        <v>0</v>
      </c>
      <c r="FG28" s="85">
        <f>IF($A28="x",$P28*SUMIFS($AF28:$DK28,$AF$4:$DK$4,Jahresscheiben!I$2)/2,0)</f>
        <v>0</v>
      </c>
      <c r="FH28" s="85"/>
      <c r="FI28" s="61">
        <f t="shared" si="58"/>
        <v>23</v>
      </c>
      <c r="FJ28" s="85" cm="1">
        <f t="array" ref="FJ2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28" s="85" cm="1">
        <f t="array" ref="FK2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28" s="85" cm="1">
        <f t="array" ref="FL2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28" s="85" cm="1">
        <f t="array" ref="FM2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28" s="85" cm="1">
        <f t="array" ref="FN2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28" s="85" cm="1">
        <f t="array" ref="FO2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28" s="85" cm="1">
        <f t="array" ref="FP2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29" spans="1:172" ht="17" customHeight="1" thickBot="1" x14ac:dyDescent="0.55000000000000004">
      <c r="A29" s="30" t="s">
        <v>24</v>
      </c>
      <c r="B29" s="31">
        <f t="shared" ref="B29:B34" si="75">LEN(D29)</f>
        <v>147</v>
      </c>
      <c r="C29" s="22">
        <f t="shared" si="51"/>
        <v>24</v>
      </c>
      <c r="D29" s="71" t="s">
        <v>72</v>
      </c>
      <c r="E29" s="26"/>
      <c r="F29" s="26">
        <v>28</v>
      </c>
      <c r="G29" s="26">
        <v>35</v>
      </c>
      <c r="H29" s="26"/>
      <c r="I29" s="6">
        <f t="shared" ref="I29:I34" si="76">IF(F29=0,"",EOMONTH(Project_Start,F29-1))</f>
        <v>46873</v>
      </c>
      <c r="J29" s="6">
        <f t="shared" ref="J29:J34" si="77">IF(G29=0,"",EOMONTH(Project_Start,G29-1))</f>
        <v>47087</v>
      </c>
      <c r="K29" s="26"/>
      <c r="L29" s="53">
        <v>7</v>
      </c>
      <c r="M29" s="60" cm="1">
        <f t="array" ref="M29" xml:space="preserve">
_xlfn.LET(
_xlpm.Z, _xlfn._xlws.FILTER($DY$6:$EE$65,$DX$6:$DX$65=C29),
_xlpm.Q,_xlfn._xlws.FILTER($DP$6:$DV$65,$DO$6:$DO$65=C29),
IF($A29="x",SUMPRODUCT(_xlpm.Z,$DY$73:$EE$73,EH29:EN29),SUMPRODUCT(_xlpm.Q,$DP$73:$DV$73)))</f>
        <v>0</v>
      </c>
      <c r="N29" s="54" t="str" cm="1">
        <f t="array" ref="N29" xml:space="preserve">
_xlfn.LET(
_xlpm.Z, SUM(IF($A29="x",_xlfn._xlws.FILTER($M$6:$M$65,$A$6:$A$65="x"),_xlfn._xlws.FILTER($M$6:$M$65,$A$6:$A$65&lt;&gt;"x"))),
IF(_xlpm.Z&lt;&gt;0,M29/_xlpm.Z,""))</f>
        <v/>
      </c>
      <c r="O29" s="26"/>
      <c r="P29" s="53">
        <f t="shared" ref="P29:P34" si="78">L29</f>
        <v>7</v>
      </c>
      <c r="Q29" s="60" cm="1">
        <f t="array" ref="Q29" xml:space="preserve">
_xlfn.LET(
_xlpm.Z, _xlfn._xlws.FILTER($FA$6:$FG$65,$EZ$6:$EZ$65=C29),
_xlpm.Q,_xlfn._xlws.FILTER($ER$6:$EX$65,$EQ$6:$EQ$65=C29),
IF($A29="x",SUMPRODUCT(_xlpm.Z,$FA$73:$FG$73,FJ29:FP29),SUMPRODUCT(_xlpm.Q,$ER$73:$EX$73)))</f>
        <v>0</v>
      </c>
      <c r="R29" s="54" t="str" cm="1">
        <f t="array" ref="R29" xml:space="preserve">
_xlfn.LET(
_xlpm.Z, SUM(IF($A29="x",_xlfn._xlws.FILTER($Q$6:$Q$65,$A$6:$A$65="x"),_xlfn._xlws.FILTER($Q$6:$Q$65,$A$6:$A$65&lt;&gt;"x"))),
IF(_xlpm.Z&lt;&gt;0,Q29/_xlpm.Z,""))</f>
        <v/>
      </c>
      <c r="S29" s="26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8"/>
      <c r="AE29" s="28"/>
      <c r="AF29" s="23" t="str">
        <f t="shared" si="67"/>
        <v/>
      </c>
      <c r="AG29" s="23" t="str">
        <f t="shared" si="67"/>
        <v/>
      </c>
      <c r="AH29" s="23" t="str">
        <f t="shared" si="67"/>
        <v/>
      </c>
      <c r="AI29" s="23" t="str">
        <f t="shared" si="67"/>
        <v/>
      </c>
      <c r="AJ29" s="23" t="str">
        <f t="shared" si="67"/>
        <v/>
      </c>
      <c r="AK29" s="23" t="str">
        <f t="shared" si="67"/>
        <v/>
      </c>
      <c r="AL29" s="23" t="str">
        <f t="shared" si="67"/>
        <v/>
      </c>
      <c r="AM29" s="23" t="str">
        <f t="shared" si="67"/>
        <v/>
      </c>
      <c r="AN29" s="23" t="str">
        <f t="shared" si="67"/>
        <v/>
      </c>
      <c r="AO29" s="23" t="str">
        <f t="shared" si="67"/>
        <v/>
      </c>
      <c r="AP29" s="23" t="str">
        <f t="shared" si="68"/>
        <v/>
      </c>
      <c r="AQ29" s="23" t="str">
        <f t="shared" si="68"/>
        <v/>
      </c>
      <c r="AR29" s="23" t="str">
        <f t="shared" si="68"/>
        <v/>
      </c>
      <c r="AS29" s="23" t="str">
        <f t="shared" si="68"/>
        <v/>
      </c>
      <c r="AT29" s="23" t="str">
        <f t="shared" si="68"/>
        <v/>
      </c>
      <c r="AU29" s="23" t="str">
        <f t="shared" si="68"/>
        <v/>
      </c>
      <c r="AV29" s="23" t="str">
        <f t="shared" si="68"/>
        <v/>
      </c>
      <c r="AW29" s="23" t="str">
        <f t="shared" si="68"/>
        <v/>
      </c>
      <c r="AX29" s="23" t="str">
        <f t="shared" si="68"/>
        <v/>
      </c>
      <c r="AY29" s="23" t="str">
        <f t="shared" si="68"/>
        <v/>
      </c>
      <c r="AZ29" s="23" t="str">
        <f t="shared" si="69"/>
        <v/>
      </c>
      <c r="BA29" s="23" t="str">
        <f t="shared" si="69"/>
        <v/>
      </c>
      <c r="BB29" s="23" t="str">
        <f t="shared" si="69"/>
        <v/>
      </c>
      <c r="BC29" s="23" t="str">
        <f t="shared" si="69"/>
        <v/>
      </c>
      <c r="BD29" s="23" t="str">
        <f t="shared" si="69"/>
        <v/>
      </c>
      <c r="BE29" s="23" t="str">
        <f t="shared" si="69"/>
        <v/>
      </c>
      <c r="BF29" s="23" t="str">
        <f t="shared" si="69"/>
        <v/>
      </c>
      <c r="BG29" s="23">
        <f t="shared" si="69"/>
        <v>2</v>
      </c>
      <c r="BH29" s="23">
        <f t="shared" si="69"/>
        <v>2</v>
      </c>
      <c r="BI29" s="23">
        <f t="shared" si="69"/>
        <v>2</v>
      </c>
      <c r="BJ29" s="23">
        <f t="shared" si="70"/>
        <v>2</v>
      </c>
      <c r="BK29" s="23">
        <f t="shared" si="70"/>
        <v>2</v>
      </c>
      <c r="BL29" s="23">
        <f t="shared" si="70"/>
        <v>2</v>
      </c>
      <c r="BM29" s="23">
        <f t="shared" si="70"/>
        <v>2</v>
      </c>
      <c r="BN29" s="23">
        <f t="shared" si="70"/>
        <v>2</v>
      </c>
      <c r="BO29" s="23" t="str">
        <f t="shared" si="70"/>
        <v/>
      </c>
      <c r="BP29" s="23" t="str">
        <f t="shared" si="70"/>
        <v/>
      </c>
      <c r="BQ29" s="23" t="str">
        <f t="shared" si="70"/>
        <v/>
      </c>
      <c r="BR29" s="23" t="str">
        <f t="shared" si="70"/>
        <v/>
      </c>
      <c r="BS29" s="23" t="str">
        <f t="shared" si="70"/>
        <v/>
      </c>
      <c r="BT29" s="23" t="str">
        <f t="shared" si="71"/>
        <v/>
      </c>
      <c r="BU29" s="23" t="str">
        <f t="shared" si="71"/>
        <v/>
      </c>
      <c r="BV29" s="23" t="str">
        <f t="shared" si="71"/>
        <v/>
      </c>
      <c r="BW29" s="23" t="str">
        <f t="shared" si="71"/>
        <v/>
      </c>
      <c r="BX29" s="23" t="str">
        <f t="shared" si="71"/>
        <v/>
      </c>
      <c r="BY29" s="23" t="str">
        <f t="shared" si="71"/>
        <v/>
      </c>
      <c r="BZ29" s="23" t="str">
        <f t="shared" si="71"/>
        <v/>
      </c>
      <c r="CA29" s="23" t="str">
        <f t="shared" si="71"/>
        <v/>
      </c>
      <c r="CB29" s="23" t="str">
        <f t="shared" si="71"/>
        <v/>
      </c>
      <c r="CC29" s="23" t="str">
        <f t="shared" si="71"/>
        <v/>
      </c>
      <c r="CD29" s="23" t="str">
        <f t="shared" si="72"/>
        <v/>
      </c>
      <c r="CE29" s="23" t="str">
        <f t="shared" si="72"/>
        <v/>
      </c>
      <c r="CF29" s="23" t="str">
        <f t="shared" si="72"/>
        <v/>
      </c>
      <c r="CG29" s="23" t="str">
        <f t="shared" si="72"/>
        <v/>
      </c>
      <c r="CH29" s="23" t="str">
        <f t="shared" si="72"/>
        <v/>
      </c>
      <c r="CI29" s="23" t="str">
        <f t="shared" si="72"/>
        <v/>
      </c>
      <c r="CJ29" s="23" t="str">
        <f t="shared" si="72"/>
        <v/>
      </c>
      <c r="CK29" s="23" t="str">
        <f t="shared" si="72"/>
        <v/>
      </c>
      <c r="CL29" s="23" t="str">
        <f t="shared" si="72"/>
        <v/>
      </c>
      <c r="CM29" s="23" t="str">
        <f t="shared" si="72"/>
        <v/>
      </c>
      <c r="CN29" s="23" t="str">
        <f t="shared" si="73"/>
        <v/>
      </c>
      <c r="CO29" s="23" t="str">
        <f t="shared" si="73"/>
        <v/>
      </c>
      <c r="CP29" s="23" t="str">
        <f t="shared" si="73"/>
        <v/>
      </c>
      <c r="CQ29" s="23" t="str">
        <f t="shared" si="73"/>
        <v/>
      </c>
      <c r="CR29" s="23" t="str">
        <f t="shared" si="73"/>
        <v/>
      </c>
      <c r="CS29" s="23" t="str">
        <f t="shared" si="73"/>
        <v/>
      </c>
      <c r="CT29" s="23" t="str">
        <f t="shared" si="73"/>
        <v/>
      </c>
      <c r="CU29" s="23" t="str">
        <f t="shared" si="73"/>
        <v/>
      </c>
      <c r="CV29" s="23" t="str">
        <f t="shared" si="73"/>
        <v/>
      </c>
      <c r="CW29" s="23" t="str">
        <f t="shared" si="73"/>
        <v/>
      </c>
      <c r="CX29" s="23" t="str">
        <f t="shared" si="73"/>
        <v/>
      </c>
      <c r="CY29" s="23" t="str">
        <f t="shared" si="73"/>
        <v/>
      </c>
      <c r="CZ29" s="23" t="str">
        <f t="shared" si="73"/>
        <v/>
      </c>
      <c r="DA29" s="23" t="str">
        <f t="shared" si="73"/>
        <v/>
      </c>
      <c r="DB29" s="23" t="str">
        <f t="shared" si="73"/>
        <v/>
      </c>
      <c r="DC29" s="23" t="str">
        <f t="shared" si="73"/>
        <v/>
      </c>
      <c r="DD29" s="23" t="str">
        <f t="shared" ref="DD29:DK34" si="79">_xlfn.LET(
_xlpm.project_monat,DD$3,
_xlpm.start_monat,$F29,
_xlpm.ende_monat,$G29,
IF(AND(_xlpm.project_monat&gt;=_xlpm.start_monat,_xlpm.project_monat&lt;=_xlpm.ende_monat),IF($A29="x",2,1),""))</f>
        <v/>
      </c>
      <c r="DE29" s="23" t="str">
        <f t="shared" si="79"/>
        <v/>
      </c>
      <c r="DF29" s="23" t="str">
        <f t="shared" si="79"/>
        <v/>
      </c>
      <c r="DG29" s="23" t="str">
        <f t="shared" si="79"/>
        <v/>
      </c>
      <c r="DH29" s="23" t="str">
        <f t="shared" si="79"/>
        <v/>
      </c>
      <c r="DI29" s="23" t="str">
        <f t="shared" si="79"/>
        <v/>
      </c>
      <c r="DJ29" s="23" t="str">
        <f t="shared" si="79"/>
        <v/>
      </c>
      <c r="DK29" s="23" t="str">
        <f t="shared" si="79"/>
        <v/>
      </c>
      <c r="DO29" s="61">
        <f t="shared" si="53"/>
        <v>24</v>
      </c>
      <c r="DP29" s="61">
        <f>IF($A29&lt;&gt;"x",$L29*SUMIFS($AF29:$DK29,$AF$4:$DK$4,Jahresscheiben!C$2),0)</f>
        <v>0</v>
      </c>
      <c r="DQ29" s="61">
        <f>IF($A29&lt;&gt;"x",$L29*SUMIFS($AF29:$DK29,$AF$4:$DK$4,Jahresscheiben!D$2),0)</f>
        <v>0</v>
      </c>
      <c r="DR29" s="61">
        <f>IF($A29&lt;&gt;"x",$L29*SUMIFS($AF29:$DK29,$AF$4:$DK$4,Jahresscheiben!E$2),0)</f>
        <v>0</v>
      </c>
      <c r="DS29" s="61">
        <f>IF($A29&lt;&gt;"x",$L29*SUMIFS($AF29:$DK29,$AF$4:$DK$4,Jahresscheiben!F$2),0)</f>
        <v>0</v>
      </c>
      <c r="DT29" s="61">
        <f>IF($A29&lt;&gt;"x",$L29*SUMIFS($AF29:$DK29,$AF$4:$DK$4,Jahresscheiben!G$2),0)</f>
        <v>0</v>
      </c>
      <c r="DU29" s="61">
        <f>IF($A29&lt;&gt;"x",$L29*SUMIFS($AF29:$DK29,$AF$4:$DK$4,Jahresscheiben!H$2),0)</f>
        <v>0</v>
      </c>
      <c r="DV29" s="61">
        <f>IF($A29&lt;&gt;"x",$L29*SUMIFS($AF29:$DK29,$AF$4:$DK$4,Jahresscheiben!I$2),0)</f>
        <v>0</v>
      </c>
      <c r="DW29" s="85"/>
      <c r="DX29" s="61">
        <f t="shared" si="54"/>
        <v>24</v>
      </c>
      <c r="DY29" s="85">
        <f>IF($A29="x",$L29*SUMIFS($AF29:$DK29,$AF$4:$DK$4,Jahresscheiben!C$2)/2,0)</f>
        <v>0</v>
      </c>
      <c r="DZ29" s="85">
        <f>IF($A29="x",$L29*SUMIFS($AF29:$DK29,$AF$4:$DK$4,Jahresscheiben!D$2)/2,0)</f>
        <v>0</v>
      </c>
      <c r="EA29" s="85">
        <f>IF($A29="x",$L29*SUMIFS($AF29:$DK29,$AF$4:$DK$4,Jahresscheiben!E$2)/2,0)</f>
        <v>56</v>
      </c>
      <c r="EB29" s="85">
        <f>IF($A29="x",$L29*SUMIFS($AF29:$DK29,$AF$4:$DK$4,Jahresscheiben!F$2)/2,0)</f>
        <v>0</v>
      </c>
      <c r="EC29" s="85">
        <f>IF($A29="x",$L29*SUMIFS($AF29:$DK29,$AF$4:$DK$4,Jahresscheiben!G$2)/2,0)</f>
        <v>0</v>
      </c>
      <c r="ED29" s="85">
        <f>IF($A29="x",$L29*SUMIFS($AF29:$DK29,$AF$4:$DK$4,Jahresscheiben!H$2)/2,0)</f>
        <v>0</v>
      </c>
      <c r="EE29" s="85">
        <f>IF($A29="x",$L29*SUMIFS($AF29:$DK29,$AF$4:$DK$4,Jahresscheiben!I$2)/2,0)</f>
        <v>0</v>
      </c>
      <c r="EF29" s="85"/>
      <c r="EG29" s="61">
        <f t="shared" si="55"/>
        <v>24</v>
      </c>
      <c r="EH29" s="85" cm="1">
        <f t="array" ref="EH2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29" s="85" cm="1">
        <f t="array" ref="EI2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29" s="85" cm="1">
        <f t="array" ref="EJ2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29" s="85" cm="1">
        <f t="array" ref="EK2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29" s="85" cm="1">
        <f t="array" ref="EL2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29" s="85" cm="1">
        <f t="array" ref="EM2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29" s="85" cm="1">
        <f t="array" ref="EN2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29" s="85"/>
      <c r="EQ29" s="61">
        <f t="shared" si="56"/>
        <v>24</v>
      </c>
      <c r="ER29" s="62">
        <f>IF($A29&lt;&gt;"x",$P29*SUMIFS($AF29:$DK29,$AF$4:$DK$4,Jahresscheiben!C$2),0)</f>
        <v>0</v>
      </c>
      <c r="ES29" s="62">
        <f>IF($A29&lt;&gt;"x",$P29*SUMIFS($AF29:$DK29,$AF$4:$DK$4,Jahresscheiben!D$2),0)</f>
        <v>0</v>
      </c>
      <c r="ET29" s="62">
        <f>IF($A29&lt;&gt;"x",$P29*SUMIFS($AF29:$DK29,$AF$4:$DK$4,Jahresscheiben!E$2),0)</f>
        <v>0</v>
      </c>
      <c r="EU29" s="62">
        <f>IF($A29&lt;&gt;"x",$P29*SUMIFS($AF29:$DK29,$AF$4:$DK$4,Jahresscheiben!F$2),0)</f>
        <v>0</v>
      </c>
      <c r="EV29" s="62">
        <f>IF($A29&lt;&gt;"x",$P29*SUMIFS($AF29:$DK29,$AF$4:$DK$4,Jahresscheiben!G$2),0)</f>
        <v>0</v>
      </c>
      <c r="EW29" s="62">
        <f>IF($A29&lt;&gt;"x",$P29*SUMIFS($AF29:$DK29,$AF$4:$DK$4,Jahresscheiben!H$2),0)</f>
        <v>0</v>
      </c>
      <c r="EX29" s="62">
        <f>IF($A29&lt;&gt;"x",$P29*SUMIFS($AF29:$DK29,$AF$4:$DK$4,Jahresscheiben!I$2),0)</f>
        <v>0</v>
      </c>
      <c r="EY29" s="85"/>
      <c r="EZ29" s="61">
        <f t="shared" si="57"/>
        <v>24</v>
      </c>
      <c r="FA29" s="85">
        <f>IF($A29="x",$P29*SUMIFS($AF29:$DK29,$AF$4:$DK$4,Jahresscheiben!C$2)/2,0)</f>
        <v>0</v>
      </c>
      <c r="FB29" s="85">
        <f>IF($A29="x",$P29*SUMIFS($AF29:$DK29,$AF$4:$DK$4,Jahresscheiben!D$2)/2,0)</f>
        <v>0</v>
      </c>
      <c r="FC29" s="85">
        <f>IF($A29="x",$P29*SUMIFS($AF29:$DK29,$AF$4:$DK$4,Jahresscheiben!E$2)/2,0)</f>
        <v>56</v>
      </c>
      <c r="FD29" s="85">
        <f>IF($A29="x",$P29*SUMIFS($AF29:$DK29,$AF$4:$DK$4,Jahresscheiben!F$2)/2,0)</f>
        <v>0</v>
      </c>
      <c r="FE29" s="85">
        <f>IF($A29="x",$P29*SUMIFS($AF29:$DK29,$AF$4:$DK$4,Jahresscheiben!G$2)/2,0)</f>
        <v>0</v>
      </c>
      <c r="FF29" s="85">
        <f>IF($A29="x",$P29*SUMIFS($AF29:$DK29,$AF$4:$DK$4,Jahresscheiben!H$2)/2,0)</f>
        <v>0</v>
      </c>
      <c r="FG29" s="85">
        <f>IF($A29="x",$P29*SUMIFS($AF29:$DK29,$AF$4:$DK$4,Jahresscheiben!I$2)/2,0)</f>
        <v>0</v>
      </c>
      <c r="FH29" s="85"/>
      <c r="FI29" s="61">
        <f t="shared" si="58"/>
        <v>24</v>
      </c>
      <c r="FJ29" s="85" cm="1">
        <f t="array" ref="FJ2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29" s="85" cm="1">
        <f t="array" ref="FK2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29" s="85" cm="1">
        <f t="array" ref="FL2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29" s="85" cm="1">
        <f t="array" ref="FM2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29" s="85" cm="1">
        <f t="array" ref="FN2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29" s="85" cm="1">
        <f t="array" ref="FO2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29" s="85" cm="1">
        <f t="array" ref="FP2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30" spans="1:172" ht="17" customHeight="1" thickBot="1" x14ac:dyDescent="0.55000000000000004">
      <c r="A30" s="29" t="s">
        <v>24</v>
      </c>
      <c r="B30" s="31">
        <f t="shared" si="75"/>
        <v>143</v>
      </c>
      <c r="C30" s="22">
        <f t="shared" si="51"/>
        <v>25</v>
      </c>
      <c r="D30" s="71" t="s">
        <v>73</v>
      </c>
      <c r="E30" s="7"/>
      <c r="F30" s="7">
        <v>34</v>
      </c>
      <c r="G30" s="7">
        <v>36</v>
      </c>
      <c r="H30" s="7"/>
      <c r="I30" s="6">
        <f t="shared" si="76"/>
        <v>47057</v>
      </c>
      <c r="J30" s="6">
        <f t="shared" si="77"/>
        <v>47118</v>
      </c>
      <c r="K30" s="7"/>
      <c r="L30" s="53">
        <v>5</v>
      </c>
      <c r="M30" s="60" cm="1">
        <f t="array" ref="M30" xml:space="preserve">
_xlfn.LET(
_xlpm.Z, _xlfn._xlws.FILTER($DY$6:$EE$65,$DX$6:$DX$65=C30),
_xlpm.Q,_xlfn._xlws.FILTER($DP$6:$DV$65,$DO$6:$DO$65=C30),
IF($A30="x",SUMPRODUCT(_xlpm.Z,$DY$73:$EE$73,EH30:EN30),SUMPRODUCT(_xlpm.Q,$DP$73:$DV$73)))</f>
        <v>0</v>
      </c>
      <c r="N30" s="54" t="str" cm="1">
        <f t="array" ref="N30" xml:space="preserve">
_xlfn.LET(
_xlpm.Z, SUM(IF($A30="x",_xlfn._xlws.FILTER($M$6:$M$65,$A$6:$A$65="x"),_xlfn._xlws.FILTER($M$6:$M$65,$A$6:$A$65&lt;&gt;"x"))),
IF(_xlpm.Z&lt;&gt;0,M30/_xlpm.Z,""))</f>
        <v/>
      </c>
      <c r="O30" s="7"/>
      <c r="P30" s="53">
        <f t="shared" si="78"/>
        <v>5</v>
      </c>
      <c r="Q30" s="60" cm="1">
        <f t="array" ref="Q30" xml:space="preserve">
_xlfn.LET(
_xlpm.Z, _xlfn._xlws.FILTER($FA$6:$FG$65,$EZ$6:$EZ$65=C30),
_xlpm.Q,_xlfn._xlws.FILTER($ER$6:$EX$65,$EQ$6:$EQ$65=C30),
IF($A30="x",SUMPRODUCT(_xlpm.Z,$FA$73:$FG$73,FJ30:FP30),SUMPRODUCT(_xlpm.Q,$ER$73:$EX$73)))</f>
        <v>0</v>
      </c>
      <c r="R30" s="54" t="str" cm="1">
        <f t="array" ref="R30" xml:space="preserve">
_xlfn.LET(
_xlpm.Z, SUM(IF($A30="x",_xlfn._xlws.FILTER($Q$6:$Q$65,$A$6:$A$65="x"),_xlfn._xlws.FILTER($Q$6:$Q$65,$A$6:$A$65&lt;&gt;"x"))),
IF(_xlpm.Z&lt;&gt;0,Q30/_xlpm.Z,""))</f>
        <v/>
      </c>
      <c r="S30" s="7"/>
      <c r="T30" s="6"/>
      <c r="U30" s="6"/>
      <c r="V30" s="6"/>
      <c r="W30" s="6"/>
      <c r="X30" s="6"/>
      <c r="Y30" s="6"/>
      <c r="Z30" s="6"/>
      <c r="AA30" s="6"/>
      <c r="AB30" s="6"/>
      <c r="AC30" s="6"/>
      <c r="AD30" s="7"/>
      <c r="AE30" s="7"/>
      <c r="AF30" s="23" t="str">
        <f t="shared" si="67"/>
        <v/>
      </c>
      <c r="AG30" s="23" t="str">
        <f t="shared" si="67"/>
        <v/>
      </c>
      <c r="AH30" s="23" t="str">
        <f t="shared" si="67"/>
        <v/>
      </c>
      <c r="AI30" s="23" t="str">
        <f t="shared" si="67"/>
        <v/>
      </c>
      <c r="AJ30" s="23" t="str">
        <f t="shared" si="67"/>
        <v/>
      </c>
      <c r="AK30" s="23" t="str">
        <f t="shared" si="67"/>
        <v/>
      </c>
      <c r="AL30" s="23" t="str">
        <f t="shared" si="67"/>
        <v/>
      </c>
      <c r="AM30" s="23" t="str">
        <f t="shared" si="67"/>
        <v/>
      </c>
      <c r="AN30" s="23" t="str">
        <f t="shared" si="67"/>
        <v/>
      </c>
      <c r="AO30" s="23" t="str">
        <f t="shared" si="67"/>
        <v/>
      </c>
      <c r="AP30" s="23" t="str">
        <f t="shared" si="68"/>
        <v/>
      </c>
      <c r="AQ30" s="23" t="str">
        <f t="shared" si="68"/>
        <v/>
      </c>
      <c r="AR30" s="23" t="str">
        <f t="shared" si="68"/>
        <v/>
      </c>
      <c r="AS30" s="23" t="str">
        <f t="shared" si="68"/>
        <v/>
      </c>
      <c r="AT30" s="23" t="str">
        <f t="shared" si="68"/>
        <v/>
      </c>
      <c r="AU30" s="23" t="str">
        <f t="shared" si="68"/>
        <v/>
      </c>
      <c r="AV30" s="23" t="str">
        <f t="shared" si="68"/>
        <v/>
      </c>
      <c r="AW30" s="23" t="str">
        <f t="shared" si="68"/>
        <v/>
      </c>
      <c r="AX30" s="23" t="str">
        <f t="shared" si="68"/>
        <v/>
      </c>
      <c r="AY30" s="23" t="str">
        <f t="shared" si="68"/>
        <v/>
      </c>
      <c r="AZ30" s="23" t="str">
        <f t="shared" si="69"/>
        <v/>
      </c>
      <c r="BA30" s="23" t="str">
        <f t="shared" si="69"/>
        <v/>
      </c>
      <c r="BB30" s="23" t="str">
        <f t="shared" si="69"/>
        <v/>
      </c>
      <c r="BC30" s="23" t="str">
        <f t="shared" si="69"/>
        <v/>
      </c>
      <c r="BD30" s="23" t="str">
        <f t="shared" si="69"/>
        <v/>
      </c>
      <c r="BE30" s="23" t="str">
        <f t="shared" si="69"/>
        <v/>
      </c>
      <c r="BF30" s="23" t="str">
        <f t="shared" si="69"/>
        <v/>
      </c>
      <c r="BG30" s="23" t="str">
        <f t="shared" si="69"/>
        <v/>
      </c>
      <c r="BH30" s="23" t="str">
        <f t="shared" si="69"/>
        <v/>
      </c>
      <c r="BI30" s="23" t="str">
        <f t="shared" si="69"/>
        <v/>
      </c>
      <c r="BJ30" s="23" t="str">
        <f t="shared" si="70"/>
        <v/>
      </c>
      <c r="BK30" s="23" t="str">
        <f t="shared" si="70"/>
        <v/>
      </c>
      <c r="BL30" s="23" t="str">
        <f t="shared" si="70"/>
        <v/>
      </c>
      <c r="BM30" s="23">
        <f t="shared" si="70"/>
        <v>2</v>
      </c>
      <c r="BN30" s="23">
        <f t="shared" si="70"/>
        <v>2</v>
      </c>
      <c r="BO30" s="23">
        <f t="shared" si="70"/>
        <v>2</v>
      </c>
      <c r="BP30" s="23" t="str">
        <f t="shared" si="70"/>
        <v/>
      </c>
      <c r="BQ30" s="23" t="str">
        <f t="shared" si="70"/>
        <v/>
      </c>
      <c r="BR30" s="23" t="str">
        <f t="shared" si="70"/>
        <v/>
      </c>
      <c r="BS30" s="23" t="str">
        <f t="shared" si="70"/>
        <v/>
      </c>
      <c r="BT30" s="23" t="str">
        <f t="shared" si="71"/>
        <v/>
      </c>
      <c r="BU30" s="23" t="str">
        <f t="shared" si="71"/>
        <v/>
      </c>
      <c r="BV30" s="23" t="str">
        <f t="shared" si="71"/>
        <v/>
      </c>
      <c r="BW30" s="23" t="str">
        <f t="shared" si="71"/>
        <v/>
      </c>
      <c r="BX30" s="23" t="str">
        <f t="shared" si="71"/>
        <v/>
      </c>
      <c r="BY30" s="23" t="str">
        <f t="shared" si="71"/>
        <v/>
      </c>
      <c r="BZ30" s="23" t="str">
        <f t="shared" si="71"/>
        <v/>
      </c>
      <c r="CA30" s="23" t="str">
        <f t="shared" si="71"/>
        <v/>
      </c>
      <c r="CB30" s="23" t="str">
        <f t="shared" si="71"/>
        <v/>
      </c>
      <c r="CC30" s="23" t="str">
        <f t="shared" si="71"/>
        <v/>
      </c>
      <c r="CD30" s="23" t="str">
        <f t="shared" si="72"/>
        <v/>
      </c>
      <c r="CE30" s="23" t="str">
        <f t="shared" si="72"/>
        <v/>
      </c>
      <c r="CF30" s="23" t="str">
        <f t="shared" si="72"/>
        <v/>
      </c>
      <c r="CG30" s="23" t="str">
        <f t="shared" si="72"/>
        <v/>
      </c>
      <c r="CH30" s="23" t="str">
        <f t="shared" si="72"/>
        <v/>
      </c>
      <c r="CI30" s="23" t="str">
        <f t="shared" si="72"/>
        <v/>
      </c>
      <c r="CJ30" s="23" t="str">
        <f t="shared" si="72"/>
        <v/>
      </c>
      <c r="CK30" s="23" t="str">
        <f t="shared" si="72"/>
        <v/>
      </c>
      <c r="CL30" s="23" t="str">
        <f t="shared" si="72"/>
        <v/>
      </c>
      <c r="CM30" s="23" t="str">
        <f t="shared" si="72"/>
        <v/>
      </c>
      <c r="CN30" s="23" t="str">
        <f t="shared" si="73"/>
        <v/>
      </c>
      <c r="CO30" s="23" t="str">
        <f t="shared" ref="CO30:DD34" si="80">_xlfn.LET(
_xlpm.project_monat,CO$3,
_xlpm.start_monat,$F30,
_xlpm.ende_monat,$G30,
IF(AND(_xlpm.project_monat&gt;=_xlpm.start_monat,_xlpm.project_monat&lt;=_xlpm.ende_monat),IF($A30="x",2,1),""))</f>
        <v/>
      </c>
      <c r="CP30" s="23" t="str">
        <f t="shared" si="80"/>
        <v/>
      </c>
      <c r="CQ30" s="23" t="str">
        <f t="shared" si="80"/>
        <v/>
      </c>
      <c r="CR30" s="23" t="str">
        <f t="shared" si="80"/>
        <v/>
      </c>
      <c r="CS30" s="23" t="str">
        <f t="shared" si="80"/>
        <v/>
      </c>
      <c r="CT30" s="23" t="str">
        <f t="shared" si="80"/>
        <v/>
      </c>
      <c r="CU30" s="23" t="str">
        <f t="shared" si="80"/>
        <v/>
      </c>
      <c r="CV30" s="23" t="str">
        <f t="shared" si="80"/>
        <v/>
      </c>
      <c r="CW30" s="23" t="str">
        <f t="shared" si="80"/>
        <v/>
      </c>
      <c r="CX30" s="23" t="str">
        <f t="shared" si="80"/>
        <v/>
      </c>
      <c r="CY30" s="23" t="str">
        <f t="shared" si="80"/>
        <v/>
      </c>
      <c r="CZ30" s="23" t="str">
        <f t="shared" si="80"/>
        <v/>
      </c>
      <c r="DA30" s="23" t="str">
        <f t="shared" si="80"/>
        <v/>
      </c>
      <c r="DB30" s="23" t="str">
        <f t="shared" si="80"/>
        <v/>
      </c>
      <c r="DC30" s="23" t="str">
        <f t="shared" si="80"/>
        <v/>
      </c>
      <c r="DD30" s="23" t="str">
        <f t="shared" si="80"/>
        <v/>
      </c>
      <c r="DE30" s="23" t="str">
        <f t="shared" si="79"/>
        <v/>
      </c>
      <c r="DF30" s="23" t="str">
        <f t="shared" si="79"/>
        <v/>
      </c>
      <c r="DG30" s="23" t="str">
        <f t="shared" si="79"/>
        <v/>
      </c>
      <c r="DH30" s="23" t="str">
        <f t="shared" si="79"/>
        <v/>
      </c>
      <c r="DI30" s="23" t="str">
        <f t="shared" si="79"/>
        <v/>
      </c>
      <c r="DJ30" s="23" t="str">
        <f t="shared" si="79"/>
        <v/>
      </c>
      <c r="DK30" s="23" t="str">
        <f t="shared" si="79"/>
        <v/>
      </c>
      <c r="DO30" s="61">
        <f t="shared" si="53"/>
        <v>25</v>
      </c>
      <c r="DP30" s="61">
        <f>IF($A30&lt;&gt;"x",$L30*SUMIFS($AF30:$DK30,$AF$4:$DK$4,Jahresscheiben!C$2),0)</f>
        <v>0</v>
      </c>
      <c r="DQ30" s="61">
        <f>IF($A30&lt;&gt;"x",$L30*SUMIFS($AF30:$DK30,$AF$4:$DK$4,Jahresscheiben!D$2),0)</f>
        <v>0</v>
      </c>
      <c r="DR30" s="61">
        <f>IF($A30&lt;&gt;"x",$L30*SUMIFS($AF30:$DK30,$AF$4:$DK$4,Jahresscheiben!E$2),0)</f>
        <v>0</v>
      </c>
      <c r="DS30" s="61">
        <f>IF($A30&lt;&gt;"x",$L30*SUMIFS($AF30:$DK30,$AF$4:$DK$4,Jahresscheiben!F$2),0)</f>
        <v>0</v>
      </c>
      <c r="DT30" s="61">
        <f>IF($A30&lt;&gt;"x",$L30*SUMIFS($AF30:$DK30,$AF$4:$DK$4,Jahresscheiben!G$2),0)</f>
        <v>0</v>
      </c>
      <c r="DU30" s="61">
        <f>IF($A30&lt;&gt;"x",$L30*SUMIFS($AF30:$DK30,$AF$4:$DK$4,Jahresscheiben!H$2),0)</f>
        <v>0</v>
      </c>
      <c r="DV30" s="61">
        <f>IF($A30&lt;&gt;"x",$L30*SUMIFS($AF30:$DK30,$AF$4:$DK$4,Jahresscheiben!I$2),0)</f>
        <v>0</v>
      </c>
      <c r="DW30" s="85"/>
      <c r="DX30" s="61">
        <f t="shared" si="54"/>
        <v>25</v>
      </c>
      <c r="DY30" s="85">
        <f>IF($A30="x",$L30*SUMIFS($AF30:$DK30,$AF$4:$DK$4,Jahresscheiben!C$2)/2,0)</f>
        <v>0</v>
      </c>
      <c r="DZ30" s="85">
        <f>IF($A30="x",$L30*SUMIFS($AF30:$DK30,$AF$4:$DK$4,Jahresscheiben!D$2)/2,0)</f>
        <v>0</v>
      </c>
      <c r="EA30" s="85">
        <f>IF($A30="x",$L30*SUMIFS($AF30:$DK30,$AF$4:$DK$4,Jahresscheiben!E$2)/2,0)</f>
        <v>15</v>
      </c>
      <c r="EB30" s="85">
        <f>IF($A30="x",$L30*SUMIFS($AF30:$DK30,$AF$4:$DK$4,Jahresscheiben!F$2)/2,0)</f>
        <v>0</v>
      </c>
      <c r="EC30" s="85">
        <f>IF($A30="x",$L30*SUMIFS($AF30:$DK30,$AF$4:$DK$4,Jahresscheiben!G$2)/2,0)</f>
        <v>0</v>
      </c>
      <c r="ED30" s="85">
        <f>IF($A30="x",$L30*SUMIFS($AF30:$DK30,$AF$4:$DK$4,Jahresscheiben!H$2)/2,0)</f>
        <v>0</v>
      </c>
      <c r="EE30" s="85">
        <f>IF($A30="x",$L30*SUMIFS($AF30:$DK30,$AF$4:$DK$4,Jahresscheiben!I$2)/2,0)</f>
        <v>0</v>
      </c>
      <c r="EF30" s="85"/>
      <c r="EG30" s="61">
        <f t="shared" si="55"/>
        <v>25</v>
      </c>
      <c r="EH30" s="85" cm="1">
        <f t="array" ref="EH3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30" s="85" cm="1">
        <f t="array" ref="EI3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30" s="85" cm="1">
        <f t="array" ref="EJ3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30" s="85" cm="1">
        <f t="array" ref="EK3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30" s="85" cm="1">
        <f t="array" ref="EL3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30" s="85" cm="1">
        <f t="array" ref="EM3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30" s="85" cm="1">
        <f t="array" ref="EN3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30" s="85"/>
      <c r="EQ30" s="61">
        <f t="shared" si="56"/>
        <v>25</v>
      </c>
      <c r="ER30" s="62">
        <f>IF($A30&lt;&gt;"x",$P30*SUMIFS($AF30:$DK30,$AF$4:$DK$4,Jahresscheiben!C$2),0)</f>
        <v>0</v>
      </c>
      <c r="ES30" s="62">
        <f>IF($A30&lt;&gt;"x",$P30*SUMIFS($AF30:$DK30,$AF$4:$DK$4,Jahresscheiben!D$2),0)</f>
        <v>0</v>
      </c>
      <c r="ET30" s="62">
        <f>IF($A30&lt;&gt;"x",$P30*SUMIFS($AF30:$DK30,$AF$4:$DK$4,Jahresscheiben!E$2),0)</f>
        <v>0</v>
      </c>
      <c r="EU30" s="62">
        <f>IF($A30&lt;&gt;"x",$P30*SUMIFS($AF30:$DK30,$AF$4:$DK$4,Jahresscheiben!F$2),0)</f>
        <v>0</v>
      </c>
      <c r="EV30" s="62">
        <f>IF($A30&lt;&gt;"x",$P30*SUMIFS($AF30:$DK30,$AF$4:$DK$4,Jahresscheiben!G$2),0)</f>
        <v>0</v>
      </c>
      <c r="EW30" s="62">
        <f>IF($A30&lt;&gt;"x",$P30*SUMIFS($AF30:$DK30,$AF$4:$DK$4,Jahresscheiben!H$2),0)</f>
        <v>0</v>
      </c>
      <c r="EX30" s="62">
        <f>IF($A30&lt;&gt;"x",$P30*SUMIFS($AF30:$DK30,$AF$4:$DK$4,Jahresscheiben!I$2),0)</f>
        <v>0</v>
      </c>
      <c r="EY30" s="85"/>
      <c r="EZ30" s="61">
        <f t="shared" si="57"/>
        <v>25</v>
      </c>
      <c r="FA30" s="85">
        <f>IF($A30="x",$P30*SUMIFS($AF30:$DK30,$AF$4:$DK$4,Jahresscheiben!C$2)/2,0)</f>
        <v>0</v>
      </c>
      <c r="FB30" s="85">
        <f>IF($A30="x",$P30*SUMIFS($AF30:$DK30,$AF$4:$DK$4,Jahresscheiben!D$2)/2,0)</f>
        <v>0</v>
      </c>
      <c r="FC30" s="85">
        <f>IF($A30="x",$P30*SUMIFS($AF30:$DK30,$AF$4:$DK$4,Jahresscheiben!E$2)/2,0)</f>
        <v>15</v>
      </c>
      <c r="FD30" s="85">
        <f>IF($A30="x",$P30*SUMIFS($AF30:$DK30,$AF$4:$DK$4,Jahresscheiben!F$2)/2,0)</f>
        <v>0</v>
      </c>
      <c r="FE30" s="85">
        <f>IF($A30="x",$P30*SUMIFS($AF30:$DK30,$AF$4:$DK$4,Jahresscheiben!G$2)/2,0)</f>
        <v>0</v>
      </c>
      <c r="FF30" s="85">
        <f>IF($A30="x",$P30*SUMIFS($AF30:$DK30,$AF$4:$DK$4,Jahresscheiben!H$2)/2,0)</f>
        <v>0</v>
      </c>
      <c r="FG30" s="85">
        <f>IF($A30="x",$P30*SUMIFS($AF30:$DK30,$AF$4:$DK$4,Jahresscheiben!I$2)/2,0)</f>
        <v>0</v>
      </c>
      <c r="FH30" s="85"/>
      <c r="FI30" s="61">
        <f t="shared" si="58"/>
        <v>25</v>
      </c>
      <c r="FJ30" s="85" cm="1">
        <f t="array" ref="FJ3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30" s="85" cm="1">
        <f t="array" ref="FK3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30" s="85" cm="1">
        <f t="array" ref="FL3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30" s="85" cm="1">
        <f t="array" ref="FM3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30" s="85" cm="1">
        <f t="array" ref="FN3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30" s="85" cm="1">
        <f t="array" ref="FO3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30" s="85" cm="1">
        <f t="array" ref="FP3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31" spans="1:172" ht="17" hidden="1" customHeight="1" thickBot="1" x14ac:dyDescent="0.55000000000000004">
      <c r="A31" s="30" t="s">
        <v>24</v>
      </c>
      <c r="B31" s="31">
        <f t="shared" si="75"/>
        <v>0</v>
      </c>
      <c r="C31" s="22">
        <f t="shared" si="51"/>
        <v>26</v>
      </c>
      <c r="D31" s="71"/>
      <c r="E31" s="26"/>
      <c r="F31" s="26"/>
      <c r="G31" s="26"/>
      <c r="H31" s="26"/>
      <c r="I31" s="6" t="str">
        <f t="shared" si="76"/>
        <v/>
      </c>
      <c r="J31" s="6" t="str">
        <f t="shared" si="77"/>
        <v/>
      </c>
      <c r="K31" s="26"/>
      <c r="L31" s="53">
        <v>1</v>
      </c>
      <c r="M31" s="60" cm="1">
        <f t="array" ref="M31" xml:space="preserve">
_xlfn.LET(
_xlpm.Z, _xlfn._xlws.FILTER($DY$6:$EE$65,$DX$6:$DX$65=C31),
_xlpm.Q,_xlfn._xlws.FILTER($DP$6:$DV$65,$DO$6:$DO$65=C31),
IF($A31="x",SUMPRODUCT(_xlpm.Z,$DY$73:$EE$73,EH31:EN31),SUMPRODUCT(_xlpm.Q,$DP$73:$DV$73)))</f>
        <v>0</v>
      </c>
      <c r="N31" s="54" t="str" cm="1">
        <f t="array" ref="N31" xml:space="preserve">
_xlfn.LET(
_xlpm.Z, SUM(IF($A31="x",_xlfn._xlws.FILTER($M$6:$M$65,$A$6:$A$65="x"),_xlfn._xlws.FILTER($M$6:$M$65,$A$6:$A$65&lt;&gt;"x"))),
IF(_xlpm.Z&lt;&gt;0,M31/_xlpm.Z,""))</f>
        <v/>
      </c>
      <c r="O31" s="26"/>
      <c r="P31" s="53">
        <f t="shared" si="78"/>
        <v>1</v>
      </c>
      <c r="Q31" s="60" cm="1">
        <f t="array" ref="Q31" xml:space="preserve">
_xlfn.LET(
_xlpm.Z, _xlfn._xlws.FILTER($FA$6:$FG$65,$EZ$6:$EZ$65=C31),
_xlpm.Q,_xlfn._xlws.FILTER($ER$6:$EX$65,$EQ$6:$EQ$65=C31),
IF($A31="x",SUMPRODUCT(_xlpm.Z,$FA$73:$FG$73,FJ31:FP31),SUMPRODUCT(_xlpm.Q,$ER$73:$EX$73)))</f>
        <v>0</v>
      </c>
      <c r="R31" s="54" t="str" cm="1">
        <f t="array" ref="R31" xml:space="preserve">
_xlfn.LET(
_xlpm.Z, SUM(IF($A31="x",_xlfn._xlws.FILTER($Q$6:$Q$65,$A$6:$A$65="x"),_xlfn._xlws.FILTER($Q$6:$Q$65,$A$6:$A$65&lt;&gt;"x"))),
IF(_xlpm.Z&lt;&gt;0,Q31/_xlpm.Z,""))</f>
        <v/>
      </c>
      <c r="S31" s="26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8"/>
      <c r="AE31" s="28"/>
      <c r="AF31" s="23" t="str">
        <f t="shared" si="67"/>
        <v/>
      </c>
      <c r="AG31" s="23" t="str">
        <f t="shared" si="67"/>
        <v/>
      </c>
      <c r="AH31" s="23" t="str">
        <f t="shared" si="67"/>
        <v/>
      </c>
      <c r="AI31" s="23" t="str">
        <f t="shared" si="67"/>
        <v/>
      </c>
      <c r="AJ31" s="23" t="str">
        <f t="shared" si="67"/>
        <v/>
      </c>
      <c r="AK31" s="23" t="str">
        <f t="shared" si="67"/>
        <v/>
      </c>
      <c r="AL31" s="23" t="str">
        <f t="shared" si="67"/>
        <v/>
      </c>
      <c r="AM31" s="23" t="str">
        <f t="shared" si="67"/>
        <v/>
      </c>
      <c r="AN31" s="23" t="str">
        <f t="shared" si="67"/>
        <v/>
      </c>
      <c r="AO31" s="23" t="str">
        <f t="shared" si="67"/>
        <v/>
      </c>
      <c r="AP31" s="23" t="str">
        <f t="shared" si="68"/>
        <v/>
      </c>
      <c r="AQ31" s="23" t="str">
        <f t="shared" si="68"/>
        <v/>
      </c>
      <c r="AR31" s="23" t="str">
        <f t="shared" si="68"/>
        <v/>
      </c>
      <c r="AS31" s="23" t="str">
        <f t="shared" si="68"/>
        <v/>
      </c>
      <c r="AT31" s="23" t="str">
        <f t="shared" si="68"/>
        <v/>
      </c>
      <c r="AU31" s="23" t="str">
        <f t="shared" si="68"/>
        <v/>
      </c>
      <c r="AV31" s="23" t="str">
        <f t="shared" si="68"/>
        <v/>
      </c>
      <c r="AW31" s="23" t="str">
        <f t="shared" si="68"/>
        <v/>
      </c>
      <c r="AX31" s="23" t="str">
        <f t="shared" si="68"/>
        <v/>
      </c>
      <c r="AY31" s="23" t="str">
        <f t="shared" si="68"/>
        <v/>
      </c>
      <c r="AZ31" s="23" t="str">
        <f t="shared" si="69"/>
        <v/>
      </c>
      <c r="BA31" s="23" t="str">
        <f t="shared" si="69"/>
        <v/>
      </c>
      <c r="BB31" s="23" t="str">
        <f t="shared" si="69"/>
        <v/>
      </c>
      <c r="BC31" s="23" t="str">
        <f t="shared" si="69"/>
        <v/>
      </c>
      <c r="BD31" s="23" t="str">
        <f t="shared" si="69"/>
        <v/>
      </c>
      <c r="BE31" s="23" t="str">
        <f t="shared" si="69"/>
        <v/>
      </c>
      <c r="BF31" s="23" t="str">
        <f t="shared" si="69"/>
        <v/>
      </c>
      <c r="BG31" s="23" t="str">
        <f t="shared" si="69"/>
        <v/>
      </c>
      <c r="BH31" s="23" t="str">
        <f t="shared" si="69"/>
        <v/>
      </c>
      <c r="BI31" s="23" t="str">
        <f t="shared" si="69"/>
        <v/>
      </c>
      <c r="BJ31" s="23" t="str">
        <f t="shared" si="70"/>
        <v/>
      </c>
      <c r="BK31" s="23" t="str">
        <f t="shared" si="70"/>
        <v/>
      </c>
      <c r="BL31" s="23" t="str">
        <f t="shared" si="70"/>
        <v/>
      </c>
      <c r="BM31" s="23" t="str">
        <f t="shared" si="70"/>
        <v/>
      </c>
      <c r="BN31" s="23" t="str">
        <f t="shared" si="70"/>
        <v/>
      </c>
      <c r="BO31" s="23" t="str">
        <f t="shared" si="70"/>
        <v/>
      </c>
      <c r="BP31" s="23" t="str">
        <f t="shared" si="70"/>
        <v/>
      </c>
      <c r="BQ31" s="23" t="str">
        <f t="shared" si="70"/>
        <v/>
      </c>
      <c r="BR31" s="23" t="str">
        <f t="shared" si="70"/>
        <v/>
      </c>
      <c r="BS31" s="23" t="str">
        <f t="shared" si="70"/>
        <v/>
      </c>
      <c r="BT31" s="23" t="str">
        <f t="shared" si="71"/>
        <v/>
      </c>
      <c r="BU31" s="23" t="str">
        <f t="shared" si="71"/>
        <v/>
      </c>
      <c r="BV31" s="23" t="str">
        <f t="shared" si="71"/>
        <v/>
      </c>
      <c r="BW31" s="23" t="str">
        <f t="shared" si="71"/>
        <v/>
      </c>
      <c r="BX31" s="23" t="str">
        <f t="shared" si="71"/>
        <v/>
      </c>
      <c r="BY31" s="23" t="str">
        <f t="shared" si="71"/>
        <v/>
      </c>
      <c r="BZ31" s="23" t="str">
        <f t="shared" si="71"/>
        <v/>
      </c>
      <c r="CA31" s="23" t="str">
        <f t="shared" si="71"/>
        <v/>
      </c>
      <c r="CB31" s="23" t="str">
        <f t="shared" si="71"/>
        <v/>
      </c>
      <c r="CC31" s="23" t="str">
        <f t="shared" si="71"/>
        <v/>
      </c>
      <c r="CD31" s="23" t="str">
        <f t="shared" si="72"/>
        <v/>
      </c>
      <c r="CE31" s="23" t="str">
        <f t="shared" si="72"/>
        <v/>
      </c>
      <c r="CF31" s="23" t="str">
        <f t="shared" si="72"/>
        <v/>
      </c>
      <c r="CG31" s="23" t="str">
        <f t="shared" si="72"/>
        <v/>
      </c>
      <c r="CH31" s="23" t="str">
        <f t="shared" si="72"/>
        <v/>
      </c>
      <c r="CI31" s="23" t="str">
        <f t="shared" si="72"/>
        <v/>
      </c>
      <c r="CJ31" s="23" t="str">
        <f t="shared" si="72"/>
        <v/>
      </c>
      <c r="CK31" s="23" t="str">
        <f t="shared" si="72"/>
        <v/>
      </c>
      <c r="CL31" s="23" t="str">
        <f t="shared" si="72"/>
        <v/>
      </c>
      <c r="CM31" s="23" t="str">
        <f t="shared" si="72"/>
        <v/>
      </c>
      <c r="CN31" s="23" t="str">
        <f t="shared" si="72"/>
        <v/>
      </c>
      <c r="CO31" s="23" t="str">
        <f t="shared" si="72"/>
        <v/>
      </c>
      <c r="CP31" s="23" t="str">
        <f t="shared" si="72"/>
        <v/>
      </c>
      <c r="CQ31" s="23" t="str">
        <f t="shared" si="72"/>
        <v/>
      </c>
      <c r="CR31" s="23" t="str">
        <f t="shared" si="72"/>
        <v/>
      </c>
      <c r="CS31" s="23" t="str">
        <f t="shared" si="80"/>
        <v/>
      </c>
      <c r="CT31" s="23" t="str">
        <f t="shared" si="80"/>
        <v/>
      </c>
      <c r="CU31" s="23" t="str">
        <f t="shared" si="80"/>
        <v/>
      </c>
      <c r="CV31" s="23" t="str">
        <f t="shared" si="80"/>
        <v/>
      </c>
      <c r="CW31" s="23" t="str">
        <f t="shared" si="80"/>
        <v/>
      </c>
      <c r="CX31" s="23" t="str">
        <f t="shared" si="80"/>
        <v/>
      </c>
      <c r="CY31" s="23" t="str">
        <f t="shared" si="80"/>
        <v/>
      </c>
      <c r="CZ31" s="23" t="str">
        <f t="shared" si="80"/>
        <v/>
      </c>
      <c r="DA31" s="23" t="str">
        <f t="shared" si="80"/>
        <v/>
      </c>
      <c r="DB31" s="23" t="str">
        <f t="shared" si="80"/>
        <v/>
      </c>
      <c r="DC31" s="23" t="str">
        <f t="shared" si="80"/>
        <v/>
      </c>
      <c r="DD31" s="23" t="str">
        <f t="shared" si="80"/>
        <v/>
      </c>
      <c r="DE31" s="23" t="str">
        <f t="shared" si="79"/>
        <v/>
      </c>
      <c r="DF31" s="23" t="str">
        <f t="shared" si="79"/>
        <v/>
      </c>
      <c r="DG31" s="23" t="str">
        <f t="shared" si="79"/>
        <v/>
      </c>
      <c r="DH31" s="23" t="str">
        <f t="shared" si="79"/>
        <v/>
      </c>
      <c r="DI31" s="23" t="str">
        <f t="shared" si="79"/>
        <v/>
      </c>
      <c r="DJ31" s="23" t="str">
        <f t="shared" si="79"/>
        <v/>
      </c>
      <c r="DK31" s="23" t="str">
        <f t="shared" si="79"/>
        <v/>
      </c>
      <c r="DO31" s="61">
        <f t="shared" si="53"/>
        <v>26</v>
      </c>
      <c r="DP31" s="61">
        <f>IF($A31&lt;&gt;"x",$L31*SUMIFS($AF31:$DK31,$AF$4:$DK$4,Jahresscheiben!C$2),0)</f>
        <v>0</v>
      </c>
      <c r="DQ31" s="61">
        <f>IF($A31&lt;&gt;"x",$L31*SUMIFS($AF31:$DK31,$AF$4:$DK$4,Jahresscheiben!D$2),0)</f>
        <v>0</v>
      </c>
      <c r="DR31" s="61">
        <f>IF($A31&lt;&gt;"x",$L31*SUMIFS($AF31:$DK31,$AF$4:$DK$4,Jahresscheiben!E$2),0)</f>
        <v>0</v>
      </c>
      <c r="DS31" s="61">
        <f>IF($A31&lt;&gt;"x",$L31*SUMIFS($AF31:$DK31,$AF$4:$DK$4,Jahresscheiben!F$2),0)</f>
        <v>0</v>
      </c>
      <c r="DT31" s="61">
        <f>IF($A31&lt;&gt;"x",$L31*SUMIFS($AF31:$DK31,$AF$4:$DK$4,Jahresscheiben!G$2),0)</f>
        <v>0</v>
      </c>
      <c r="DU31" s="61">
        <f>IF($A31&lt;&gt;"x",$L31*SUMIFS($AF31:$DK31,$AF$4:$DK$4,Jahresscheiben!H$2),0)</f>
        <v>0</v>
      </c>
      <c r="DV31" s="61">
        <f>IF($A31&lt;&gt;"x",$L31*SUMIFS($AF31:$DK31,$AF$4:$DK$4,Jahresscheiben!I$2),0)</f>
        <v>0</v>
      </c>
      <c r="DW31" s="85"/>
      <c r="DX31" s="61">
        <f t="shared" si="54"/>
        <v>26</v>
      </c>
      <c r="DY31" s="85">
        <f>IF($A31="x",$L31*SUMIFS($AF31:$DK31,$AF$4:$DK$4,Jahresscheiben!C$2)/2,0)</f>
        <v>0</v>
      </c>
      <c r="DZ31" s="85">
        <f>IF($A31="x",$L31*SUMIFS($AF31:$DK31,$AF$4:$DK$4,Jahresscheiben!D$2)/2,0)</f>
        <v>0</v>
      </c>
      <c r="EA31" s="85">
        <f>IF($A31="x",$L31*SUMIFS($AF31:$DK31,$AF$4:$DK$4,Jahresscheiben!E$2)/2,0)</f>
        <v>0</v>
      </c>
      <c r="EB31" s="85">
        <f>IF($A31="x",$L31*SUMIFS($AF31:$DK31,$AF$4:$DK$4,Jahresscheiben!F$2)/2,0)</f>
        <v>0</v>
      </c>
      <c r="EC31" s="85">
        <f>IF($A31="x",$L31*SUMIFS($AF31:$DK31,$AF$4:$DK$4,Jahresscheiben!G$2)/2,0)</f>
        <v>0</v>
      </c>
      <c r="ED31" s="85">
        <f>IF($A31="x",$L31*SUMIFS($AF31:$DK31,$AF$4:$DK$4,Jahresscheiben!H$2)/2,0)</f>
        <v>0</v>
      </c>
      <c r="EE31" s="85">
        <f>IF($A31="x",$L31*SUMIFS($AF31:$DK31,$AF$4:$DK$4,Jahresscheiben!I$2)/2,0)</f>
        <v>0</v>
      </c>
      <c r="EF31" s="85"/>
      <c r="EG31" s="61">
        <f t="shared" si="55"/>
        <v>26</v>
      </c>
      <c r="EH31" s="85" cm="1">
        <f t="array" ref="EH3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31" s="85" cm="1">
        <f t="array" ref="EI3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31" s="85" cm="1">
        <f t="array" ref="EJ3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31" s="85" cm="1">
        <f t="array" ref="EK3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31" s="85" cm="1">
        <f t="array" ref="EL3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31" s="85" cm="1">
        <f t="array" ref="EM3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31" s="85" cm="1">
        <f t="array" ref="EN3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31" s="85"/>
      <c r="EQ31" s="61">
        <f t="shared" si="56"/>
        <v>26</v>
      </c>
      <c r="ER31" s="62">
        <f>IF($A31&lt;&gt;"x",$P31*SUMIFS($AF31:$DK31,$AF$4:$DK$4,Jahresscheiben!C$2),0)</f>
        <v>0</v>
      </c>
      <c r="ES31" s="62">
        <f>IF($A31&lt;&gt;"x",$P31*SUMIFS($AF31:$DK31,$AF$4:$DK$4,Jahresscheiben!D$2),0)</f>
        <v>0</v>
      </c>
      <c r="ET31" s="62">
        <f>IF($A31&lt;&gt;"x",$P31*SUMIFS($AF31:$DK31,$AF$4:$DK$4,Jahresscheiben!E$2),0)</f>
        <v>0</v>
      </c>
      <c r="EU31" s="62">
        <f>IF($A31&lt;&gt;"x",$P31*SUMIFS($AF31:$DK31,$AF$4:$DK$4,Jahresscheiben!F$2),0)</f>
        <v>0</v>
      </c>
      <c r="EV31" s="62">
        <f>IF($A31&lt;&gt;"x",$P31*SUMIFS($AF31:$DK31,$AF$4:$DK$4,Jahresscheiben!G$2),0)</f>
        <v>0</v>
      </c>
      <c r="EW31" s="62">
        <f>IF($A31&lt;&gt;"x",$P31*SUMIFS($AF31:$DK31,$AF$4:$DK$4,Jahresscheiben!H$2),0)</f>
        <v>0</v>
      </c>
      <c r="EX31" s="62">
        <f>IF($A31&lt;&gt;"x",$P31*SUMIFS($AF31:$DK31,$AF$4:$DK$4,Jahresscheiben!I$2),0)</f>
        <v>0</v>
      </c>
      <c r="EY31" s="85"/>
      <c r="EZ31" s="61">
        <f t="shared" si="57"/>
        <v>26</v>
      </c>
      <c r="FA31" s="85">
        <f>IF($A31="x",$P31*SUMIFS($AF31:$DK31,$AF$4:$DK$4,Jahresscheiben!C$2)/2,0)</f>
        <v>0</v>
      </c>
      <c r="FB31" s="85">
        <f>IF($A31="x",$P31*SUMIFS($AF31:$DK31,$AF$4:$DK$4,Jahresscheiben!D$2)/2,0)</f>
        <v>0</v>
      </c>
      <c r="FC31" s="85">
        <f>IF($A31="x",$P31*SUMIFS($AF31:$DK31,$AF$4:$DK$4,Jahresscheiben!E$2)/2,0)</f>
        <v>0</v>
      </c>
      <c r="FD31" s="85">
        <f>IF($A31="x",$P31*SUMIFS($AF31:$DK31,$AF$4:$DK$4,Jahresscheiben!F$2)/2,0)</f>
        <v>0</v>
      </c>
      <c r="FE31" s="85">
        <f>IF($A31="x",$P31*SUMIFS($AF31:$DK31,$AF$4:$DK$4,Jahresscheiben!G$2)/2,0)</f>
        <v>0</v>
      </c>
      <c r="FF31" s="85">
        <f>IF($A31="x",$P31*SUMIFS($AF31:$DK31,$AF$4:$DK$4,Jahresscheiben!H$2)/2,0)</f>
        <v>0</v>
      </c>
      <c r="FG31" s="85">
        <f>IF($A31="x",$P31*SUMIFS($AF31:$DK31,$AF$4:$DK$4,Jahresscheiben!I$2)/2,0)</f>
        <v>0</v>
      </c>
      <c r="FH31" s="85"/>
      <c r="FI31" s="61">
        <f t="shared" si="58"/>
        <v>26</v>
      </c>
      <c r="FJ31" s="85" cm="1">
        <f t="array" ref="FJ3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31" s="85" cm="1">
        <f t="array" ref="FK3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31" s="85" cm="1">
        <f t="array" ref="FL3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31" s="85" cm="1">
        <f t="array" ref="FM3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31" s="85" cm="1">
        <f t="array" ref="FN3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31" s="85" cm="1">
        <f t="array" ref="FO3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31" s="85" cm="1">
        <f t="array" ref="FP3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32" spans="1:172" ht="17" hidden="1" customHeight="1" thickBot="1" x14ac:dyDescent="0.55000000000000004">
      <c r="A32" s="30" t="s">
        <v>24</v>
      </c>
      <c r="B32" s="31">
        <f t="shared" si="75"/>
        <v>0</v>
      </c>
      <c r="C32" s="22">
        <f t="shared" si="51"/>
        <v>27</v>
      </c>
      <c r="D32" s="71"/>
      <c r="E32" s="26"/>
      <c r="F32" s="26"/>
      <c r="G32" s="26"/>
      <c r="H32" s="26"/>
      <c r="I32" s="6" t="str">
        <f t="shared" si="76"/>
        <v/>
      </c>
      <c r="J32" s="6" t="str">
        <f t="shared" si="77"/>
        <v/>
      </c>
      <c r="K32" s="26"/>
      <c r="L32" s="53">
        <v>1</v>
      </c>
      <c r="M32" s="60" cm="1">
        <f t="array" ref="M32" xml:space="preserve">
_xlfn.LET(
_xlpm.Z, _xlfn._xlws.FILTER($DY$6:$EE$65,$DX$6:$DX$65=C32),
_xlpm.Q,_xlfn._xlws.FILTER($DP$6:$DV$65,$DO$6:$DO$65=C32),
IF($A32="x",SUMPRODUCT(_xlpm.Z,$DY$73:$EE$73,EH32:EN32),SUMPRODUCT(_xlpm.Q,$DP$73:$DV$73)))</f>
        <v>0</v>
      </c>
      <c r="N32" s="54" t="str" cm="1">
        <f t="array" ref="N32" xml:space="preserve">
_xlfn.LET(
_xlpm.Z, SUM(IF($A32="x",_xlfn._xlws.FILTER($M$6:$M$65,$A$6:$A$65="x"),_xlfn._xlws.FILTER($M$6:$M$65,$A$6:$A$65&lt;&gt;"x"))),
IF(_xlpm.Z&lt;&gt;0,M32/_xlpm.Z,""))</f>
        <v/>
      </c>
      <c r="O32" s="26"/>
      <c r="P32" s="53">
        <f t="shared" si="78"/>
        <v>1</v>
      </c>
      <c r="Q32" s="60" cm="1">
        <f t="array" ref="Q32" xml:space="preserve">
_xlfn.LET(
_xlpm.Z, _xlfn._xlws.FILTER($FA$6:$FG$65,$EZ$6:$EZ$65=C32),
_xlpm.Q,_xlfn._xlws.FILTER($ER$6:$EX$65,$EQ$6:$EQ$65=C32),
IF($A32="x",SUMPRODUCT(_xlpm.Z,$FA$73:$FG$73,FJ32:FP32),SUMPRODUCT(_xlpm.Q,$ER$73:$EX$73)))</f>
        <v>0</v>
      </c>
      <c r="R32" s="54" t="str" cm="1">
        <f t="array" ref="R32" xml:space="preserve">
_xlfn.LET(
_xlpm.Z, SUM(IF($A32="x",_xlfn._xlws.FILTER($Q$6:$Q$65,$A$6:$A$65="x"),_xlfn._xlws.FILTER($Q$6:$Q$65,$A$6:$A$65&lt;&gt;"x"))),
IF(_xlpm.Z&lt;&gt;0,Q32/_xlpm.Z,""))</f>
        <v/>
      </c>
      <c r="S32" s="26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8"/>
      <c r="AE32" s="28"/>
      <c r="AF32" s="23" t="str">
        <f t="shared" si="67"/>
        <v/>
      </c>
      <c r="AG32" s="23" t="str">
        <f t="shared" si="67"/>
        <v/>
      </c>
      <c r="AH32" s="23" t="str">
        <f t="shared" si="67"/>
        <v/>
      </c>
      <c r="AI32" s="23" t="str">
        <f t="shared" si="67"/>
        <v/>
      </c>
      <c r="AJ32" s="23" t="str">
        <f t="shared" si="67"/>
        <v/>
      </c>
      <c r="AK32" s="23" t="str">
        <f t="shared" ref="AK32:AO32" si="81">_xlfn.LET(
_xlpm.project_monat,AK$3,
_xlpm.start_monat,$F32,
_xlpm.ende_monat,$G32,
IF(AND(_xlpm.project_monat&gt;=_xlpm.start_monat,_xlpm.project_monat&lt;=_xlpm.ende_monat),IF($A32="x",2,1),""))</f>
        <v/>
      </c>
      <c r="AL32" s="23" t="str">
        <f t="shared" si="81"/>
        <v/>
      </c>
      <c r="AM32" s="23" t="str">
        <f t="shared" si="81"/>
        <v/>
      </c>
      <c r="AN32" s="23" t="str">
        <f t="shared" si="81"/>
        <v/>
      </c>
      <c r="AO32" s="23" t="str">
        <f t="shared" si="81"/>
        <v/>
      </c>
      <c r="AP32" s="23" t="str">
        <f t="shared" si="68"/>
        <v/>
      </c>
      <c r="AQ32" s="23" t="str">
        <f t="shared" si="68"/>
        <v/>
      </c>
      <c r="AR32" s="23" t="str">
        <f t="shared" si="68"/>
        <v/>
      </c>
      <c r="AS32" s="23" t="str">
        <f t="shared" si="68"/>
        <v/>
      </c>
      <c r="AT32" s="23" t="str">
        <f t="shared" si="68"/>
        <v/>
      </c>
      <c r="AU32" s="23" t="str">
        <f t="shared" ref="AU32:BJ34" si="82">_xlfn.LET(
_xlpm.project_monat,AU$3,
_xlpm.start_monat,$F32,
_xlpm.ende_monat,$G32,
IF(AND(_xlpm.project_monat&gt;=_xlpm.start_monat,_xlpm.project_monat&lt;=_xlpm.ende_monat),IF($A32="x",2,1),""))</f>
        <v/>
      </c>
      <c r="AV32" s="23" t="str">
        <f t="shared" si="82"/>
        <v/>
      </c>
      <c r="AW32" s="23" t="str">
        <f t="shared" si="82"/>
        <v/>
      </c>
      <c r="AX32" s="23" t="str">
        <f t="shared" si="82"/>
        <v/>
      </c>
      <c r="AY32" s="23" t="str">
        <f t="shared" si="82"/>
        <v/>
      </c>
      <c r="AZ32" s="23" t="str">
        <f t="shared" si="69"/>
        <v/>
      </c>
      <c r="BA32" s="23" t="str">
        <f t="shared" si="69"/>
        <v/>
      </c>
      <c r="BB32" s="23" t="str">
        <f t="shared" si="69"/>
        <v/>
      </c>
      <c r="BC32" s="23" t="str">
        <f t="shared" si="69"/>
        <v/>
      </c>
      <c r="BD32" s="23" t="str">
        <f t="shared" si="69"/>
        <v/>
      </c>
      <c r="BE32" s="23" t="str">
        <f t="shared" ref="BE32:BI32" si="83">_xlfn.LET(
_xlpm.project_monat,BE$3,
_xlpm.start_monat,$F32,
_xlpm.ende_monat,$G32,
IF(AND(_xlpm.project_monat&gt;=_xlpm.start_monat,_xlpm.project_monat&lt;=_xlpm.ende_monat),IF($A32="x",2,1),""))</f>
        <v/>
      </c>
      <c r="BF32" s="23" t="str">
        <f t="shared" si="83"/>
        <v/>
      </c>
      <c r="BG32" s="23" t="str">
        <f t="shared" si="83"/>
        <v/>
      </c>
      <c r="BH32" s="23" t="str">
        <f t="shared" si="83"/>
        <v/>
      </c>
      <c r="BI32" s="23" t="str">
        <f t="shared" si="83"/>
        <v/>
      </c>
      <c r="BJ32" s="23" t="str">
        <f t="shared" si="70"/>
        <v/>
      </c>
      <c r="BK32" s="23" t="str">
        <f t="shared" si="70"/>
        <v/>
      </c>
      <c r="BL32" s="23" t="str">
        <f t="shared" si="70"/>
        <v/>
      </c>
      <c r="BM32" s="23" t="str">
        <f t="shared" si="70"/>
        <v/>
      </c>
      <c r="BN32" s="23" t="str">
        <f t="shared" si="70"/>
        <v/>
      </c>
      <c r="BO32" s="23" t="str">
        <f t="shared" ref="BO32:BS32" si="84">_xlfn.LET(
_xlpm.project_monat,BO$3,
_xlpm.start_monat,$F32,
_xlpm.ende_monat,$G32,
IF(AND(_xlpm.project_monat&gt;=_xlpm.start_monat,_xlpm.project_monat&lt;=_xlpm.ende_monat),IF($A32="x",2,1),""))</f>
        <v/>
      </c>
      <c r="BP32" s="23" t="str">
        <f t="shared" si="84"/>
        <v/>
      </c>
      <c r="BQ32" s="23" t="str">
        <f t="shared" si="84"/>
        <v/>
      </c>
      <c r="BR32" s="23" t="str">
        <f t="shared" si="84"/>
        <v/>
      </c>
      <c r="BS32" s="23" t="str">
        <f t="shared" si="84"/>
        <v/>
      </c>
      <c r="BT32" s="23" t="str">
        <f t="shared" si="71"/>
        <v/>
      </c>
      <c r="BU32" s="23" t="str">
        <f t="shared" si="71"/>
        <v/>
      </c>
      <c r="BV32" s="23" t="str">
        <f t="shared" si="71"/>
        <v/>
      </c>
      <c r="BW32" s="23" t="str">
        <f t="shared" si="71"/>
        <v/>
      </c>
      <c r="BX32" s="23" t="str">
        <f t="shared" si="71"/>
        <v/>
      </c>
      <c r="BY32" s="23" t="str">
        <f t="shared" ref="BY32:CN34" si="85">_xlfn.LET(
_xlpm.project_monat,BY$3,
_xlpm.start_monat,$F32,
_xlpm.ende_monat,$G32,
IF(AND(_xlpm.project_monat&gt;=_xlpm.start_monat,_xlpm.project_monat&lt;=_xlpm.ende_monat),IF($A32="x",2,1),""))</f>
        <v/>
      </c>
      <c r="BZ32" s="23" t="str">
        <f t="shared" si="85"/>
        <v/>
      </c>
      <c r="CA32" s="23" t="str">
        <f t="shared" si="85"/>
        <v/>
      </c>
      <c r="CB32" s="23" t="str">
        <f t="shared" si="85"/>
        <v/>
      </c>
      <c r="CC32" s="23" t="str">
        <f t="shared" si="85"/>
        <v/>
      </c>
      <c r="CD32" s="23" t="str">
        <f t="shared" si="85"/>
        <v/>
      </c>
      <c r="CE32" s="23" t="str">
        <f t="shared" si="85"/>
        <v/>
      </c>
      <c r="CF32" s="23" t="str">
        <f t="shared" si="85"/>
        <v/>
      </c>
      <c r="CG32" s="23" t="str">
        <f t="shared" si="85"/>
        <v/>
      </c>
      <c r="CH32" s="23" t="str">
        <f t="shared" si="85"/>
        <v/>
      </c>
      <c r="CI32" s="23" t="str">
        <f t="shared" si="85"/>
        <v/>
      </c>
      <c r="CJ32" s="23" t="str">
        <f t="shared" si="85"/>
        <v/>
      </c>
      <c r="CK32" s="23" t="str">
        <f t="shared" si="85"/>
        <v/>
      </c>
      <c r="CL32" s="23" t="str">
        <f t="shared" si="85"/>
        <v/>
      </c>
      <c r="CM32" s="23" t="str">
        <f t="shared" si="85"/>
        <v/>
      </c>
      <c r="CN32" s="23" t="str">
        <f t="shared" si="85"/>
        <v/>
      </c>
      <c r="CO32" s="23" t="str">
        <f t="shared" ref="CO32:DC34" si="86">_xlfn.LET(
_xlpm.project_monat,CO$3,
_xlpm.start_monat,$F32,
_xlpm.ende_monat,$G32,
IF(AND(_xlpm.project_monat&gt;=_xlpm.start_monat,_xlpm.project_monat&lt;=_xlpm.ende_monat),IF($A32="x",2,1),""))</f>
        <v/>
      </c>
      <c r="CP32" s="23" t="str">
        <f t="shared" si="86"/>
        <v/>
      </c>
      <c r="CQ32" s="23" t="str">
        <f t="shared" si="86"/>
        <v/>
      </c>
      <c r="CR32" s="23" t="str">
        <f t="shared" si="86"/>
        <v/>
      </c>
      <c r="CS32" s="23" t="str">
        <f t="shared" si="86"/>
        <v/>
      </c>
      <c r="CT32" s="23" t="str">
        <f t="shared" si="86"/>
        <v/>
      </c>
      <c r="CU32" s="23" t="str">
        <f t="shared" si="86"/>
        <v/>
      </c>
      <c r="CV32" s="23" t="str">
        <f t="shared" si="86"/>
        <v/>
      </c>
      <c r="CW32" s="23" t="str">
        <f t="shared" si="86"/>
        <v/>
      </c>
      <c r="CX32" s="23" t="str">
        <f t="shared" si="86"/>
        <v/>
      </c>
      <c r="CY32" s="23" t="str">
        <f t="shared" si="86"/>
        <v/>
      </c>
      <c r="CZ32" s="23" t="str">
        <f t="shared" si="86"/>
        <v/>
      </c>
      <c r="DA32" s="23" t="str">
        <f t="shared" si="86"/>
        <v/>
      </c>
      <c r="DB32" s="23" t="str">
        <f t="shared" si="86"/>
        <v/>
      </c>
      <c r="DC32" s="23" t="str">
        <f t="shared" si="86"/>
        <v/>
      </c>
      <c r="DD32" s="23" t="str">
        <f t="shared" si="80"/>
        <v/>
      </c>
      <c r="DE32" s="23" t="str">
        <f t="shared" si="79"/>
        <v/>
      </c>
      <c r="DF32" s="23" t="str">
        <f t="shared" si="79"/>
        <v/>
      </c>
      <c r="DG32" s="23" t="str">
        <f t="shared" si="79"/>
        <v/>
      </c>
      <c r="DH32" s="23" t="str">
        <f t="shared" si="79"/>
        <v/>
      </c>
      <c r="DI32" s="23" t="str">
        <f t="shared" si="79"/>
        <v/>
      </c>
      <c r="DJ32" s="23" t="str">
        <f t="shared" si="79"/>
        <v/>
      </c>
      <c r="DK32" s="23" t="str">
        <f t="shared" si="79"/>
        <v/>
      </c>
      <c r="DO32" s="61">
        <f t="shared" si="53"/>
        <v>27</v>
      </c>
      <c r="DP32" s="61">
        <f>IF($A32&lt;&gt;"x",$L32*SUMIFS($AF32:$DK32,$AF$4:$DK$4,Jahresscheiben!C$2),0)</f>
        <v>0</v>
      </c>
      <c r="DQ32" s="61">
        <f>IF($A32&lt;&gt;"x",$L32*SUMIFS($AF32:$DK32,$AF$4:$DK$4,Jahresscheiben!D$2),0)</f>
        <v>0</v>
      </c>
      <c r="DR32" s="61">
        <f>IF($A32&lt;&gt;"x",$L32*SUMIFS($AF32:$DK32,$AF$4:$DK$4,Jahresscheiben!E$2),0)</f>
        <v>0</v>
      </c>
      <c r="DS32" s="61">
        <f>IF($A32&lt;&gt;"x",$L32*SUMIFS($AF32:$DK32,$AF$4:$DK$4,Jahresscheiben!F$2),0)</f>
        <v>0</v>
      </c>
      <c r="DT32" s="61">
        <f>IF($A32&lt;&gt;"x",$L32*SUMIFS($AF32:$DK32,$AF$4:$DK$4,Jahresscheiben!G$2),0)</f>
        <v>0</v>
      </c>
      <c r="DU32" s="61">
        <f>IF($A32&lt;&gt;"x",$L32*SUMIFS($AF32:$DK32,$AF$4:$DK$4,Jahresscheiben!H$2),0)</f>
        <v>0</v>
      </c>
      <c r="DV32" s="61">
        <f>IF($A32&lt;&gt;"x",$L32*SUMIFS($AF32:$DK32,$AF$4:$DK$4,Jahresscheiben!I$2),0)</f>
        <v>0</v>
      </c>
      <c r="DW32" s="85"/>
      <c r="DX32" s="61">
        <f t="shared" si="54"/>
        <v>27</v>
      </c>
      <c r="DY32" s="85">
        <f>IF($A32="x",$L32*SUMIFS($AF32:$DK32,$AF$4:$DK$4,Jahresscheiben!C$2)/2,0)</f>
        <v>0</v>
      </c>
      <c r="DZ32" s="85">
        <f>IF($A32="x",$L32*SUMIFS($AF32:$DK32,$AF$4:$DK$4,Jahresscheiben!D$2)/2,0)</f>
        <v>0</v>
      </c>
      <c r="EA32" s="85">
        <f>IF($A32="x",$L32*SUMIFS($AF32:$DK32,$AF$4:$DK$4,Jahresscheiben!E$2)/2,0)</f>
        <v>0</v>
      </c>
      <c r="EB32" s="85">
        <f>IF($A32="x",$L32*SUMIFS($AF32:$DK32,$AF$4:$DK$4,Jahresscheiben!F$2)/2,0)</f>
        <v>0</v>
      </c>
      <c r="EC32" s="85">
        <f>IF($A32="x",$L32*SUMIFS($AF32:$DK32,$AF$4:$DK$4,Jahresscheiben!G$2)/2,0)</f>
        <v>0</v>
      </c>
      <c r="ED32" s="85">
        <f>IF($A32="x",$L32*SUMIFS($AF32:$DK32,$AF$4:$DK$4,Jahresscheiben!H$2)/2,0)</f>
        <v>0</v>
      </c>
      <c r="EE32" s="85">
        <f>IF($A32="x",$L32*SUMIFS($AF32:$DK32,$AF$4:$DK$4,Jahresscheiben!I$2)/2,0)</f>
        <v>0</v>
      </c>
      <c r="EF32" s="85"/>
      <c r="EG32" s="61">
        <f t="shared" si="55"/>
        <v>27</v>
      </c>
      <c r="EH32" s="85" cm="1">
        <f t="array" ref="EH3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32" s="85" cm="1">
        <f t="array" ref="EI3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32" s="85" cm="1">
        <f t="array" ref="EJ3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32" s="85" cm="1">
        <f t="array" ref="EK3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32" s="85" cm="1">
        <f t="array" ref="EL3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32" s="85" cm="1">
        <f t="array" ref="EM3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32" s="85" cm="1">
        <f t="array" ref="EN3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32" s="85"/>
      <c r="EQ32" s="61">
        <f t="shared" si="56"/>
        <v>27</v>
      </c>
      <c r="ER32" s="62">
        <f>IF($A32&lt;&gt;"x",$P32*SUMIFS($AF32:$DK32,$AF$4:$DK$4,Jahresscheiben!C$2),0)</f>
        <v>0</v>
      </c>
      <c r="ES32" s="62">
        <f>IF($A32&lt;&gt;"x",$P32*SUMIFS($AF32:$DK32,$AF$4:$DK$4,Jahresscheiben!D$2),0)</f>
        <v>0</v>
      </c>
      <c r="ET32" s="62">
        <f>IF($A32&lt;&gt;"x",$P32*SUMIFS($AF32:$DK32,$AF$4:$DK$4,Jahresscheiben!E$2),0)</f>
        <v>0</v>
      </c>
      <c r="EU32" s="62">
        <f>IF($A32&lt;&gt;"x",$P32*SUMIFS($AF32:$DK32,$AF$4:$DK$4,Jahresscheiben!F$2),0)</f>
        <v>0</v>
      </c>
      <c r="EV32" s="62">
        <f>IF($A32&lt;&gt;"x",$P32*SUMIFS($AF32:$DK32,$AF$4:$DK$4,Jahresscheiben!G$2),0)</f>
        <v>0</v>
      </c>
      <c r="EW32" s="62">
        <f>IF($A32&lt;&gt;"x",$P32*SUMIFS($AF32:$DK32,$AF$4:$DK$4,Jahresscheiben!H$2),0)</f>
        <v>0</v>
      </c>
      <c r="EX32" s="62">
        <f>IF($A32&lt;&gt;"x",$P32*SUMIFS($AF32:$DK32,$AF$4:$DK$4,Jahresscheiben!I$2),0)</f>
        <v>0</v>
      </c>
      <c r="EY32" s="85"/>
      <c r="EZ32" s="61">
        <f t="shared" si="57"/>
        <v>27</v>
      </c>
      <c r="FA32" s="85">
        <f>IF($A32="x",$P32*SUMIFS($AF32:$DK32,$AF$4:$DK$4,Jahresscheiben!C$2)/2,0)</f>
        <v>0</v>
      </c>
      <c r="FB32" s="85">
        <f>IF($A32="x",$P32*SUMIFS($AF32:$DK32,$AF$4:$DK$4,Jahresscheiben!D$2)/2,0)</f>
        <v>0</v>
      </c>
      <c r="FC32" s="85">
        <f>IF($A32="x",$P32*SUMIFS($AF32:$DK32,$AF$4:$DK$4,Jahresscheiben!E$2)/2,0)</f>
        <v>0</v>
      </c>
      <c r="FD32" s="85">
        <f>IF($A32="x",$P32*SUMIFS($AF32:$DK32,$AF$4:$DK$4,Jahresscheiben!F$2)/2,0)</f>
        <v>0</v>
      </c>
      <c r="FE32" s="85">
        <f>IF($A32="x",$P32*SUMIFS($AF32:$DK32,$AF$4:$DK$4,Jahresscheiben!G$2)/2,0)</f>
        <v>0</v>
      </c>
      <c r="FF32" s="85">
        <f>IF($A32="x",$P32*SUMIFS($AF32:$DK32,$AF$4:$DK$4,Jahresscheiben!H$2)/2,0)</f>
        <v>0</v>
      </c>
      <c r="FG32" s="85">
        <f>IF($A32="x",$P32*SUMIFS($AF32:$DK32,$AF$4:$DK$4,Jahresscheiben!I$2)/2,0)</f>
        <v>0</v>
      </c>
      <c r="FH32" s="85"/>
      <c r="FI32" s="61">
        <f t="shared" si="58"/>
        <v>27</v>
      </c>
      <c r="FJ32" s="85" cm="1">
        <f t="array" ref="FJ3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32" s="85" cm="1">
        <f t="array" ref="FK3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32" s="85" cm="1">
        <f t="array" ref="FL3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32" s="85" cm="1">
        <f t="array" ref="FM3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32" s="85" cm="1">
        <f t="array" ref="FN3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32" s="85" cm="1">
        <f t="array" ref="FO3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32" s="85" cm="1">
        <f t="array" ref="FP3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33" spans="1:172" ht="17" hidden="1" customHeight="1" thickBot="1" x14ac:dyDescent="0.55000000000000004">
      <c r="A33" s="30" t="s">
        <v>24</v>
      </c>
      <c r="B33" s="31">
        <f t="shared" si="75"/>
        <v>0</v>
      </c>
      <c r="C33" s="22">
        <f t="shared" si="51"/>
        <v>28</v>
      </c>
      <c r="D33" s="71"/>
      <c r="E33" s="26"/>
      <c r="F33" s="26"/>
      <c r="G33" s="26"/>
      <c r="H33" s="26"/>
      <c r="I33" s="6" t="str">
        <f t="shared" si="76"/>
        <v/>
      </c>
      <c r="J33" s="6" t="str">
        <f t="shared" si="77"/>
        <v/>
      </c>
      <c r="K33" s="26"/>
      <c r="L33" s="53">
        <v>1</v>
      </c>
      <c r="M33" s="60" cm="1">
        <f t="array" ref="M33" xml:space="preserve">
_xlfn.LET(
_xlpm.Z, _xlfn._xlws.FILTER($DY$6:$EE$65,$DX$6:$DX$65=C33),
_xlpm.Q,_xlfn._xlws.FILTER($DP$6:$DV$65,$DO$6:$DO$65=C33),
IF($A33="x",SUMPRODUCT(_xlpm.Z,$DY$73:$EE$73,EH33:EN33),SUMPRODUCT(_xlpm.Q,$DP$73:$DV$73)))</f>
        <v>0</v>
      </c>
      <c r="N33" s="54" t="str" cm="1">
        <f t="array" ref="N33" xml:space="preserve">
_xlfn.LET(
_xlpm.Z, SUM(IF($A33="x",_xlfn._xlws.FILTER($M$6:$M$65,$A$6:$A$65="x"),_xlfn._xlws.FILTER($M$6:$M$65,$A$6:$A$65&lt;&gt;"x"))),
IF(_xlpm.Z&lt;&gt;0,M33/_xlpm.Z,""))</f>
        <v/>
      </c>
      <c r="O33" s="26"/>
      <c r="P33" s="53">
        <f t="shared" si="78"/>
        <v>1</v>
      </c>
      <c r="Q33" s="60" cm="1">
        <f t="array" ref="Q33" xml:space="preserve">
_xlfn.LET(
_xlpm.Z, _xlfn._xlws.FILTER($FA$6:$FG$65,$EZ$6:$EZ$65=C33),
_xlpm.Q,_xlfn._xlws.FILTER($ER$6:$EX$65,$EQ$6:$EQ$65=C33),
IF($A33="x",SUMPRODUCT(_xlpm.Z,$FA$73:$FG$73,FJ33:FP33),SUMPRODUCT(_xlpm.Q,$ER$73:$EX$73)))</f>
        <v>0</v>
      </c>
      <c r="R33" s="54" t="str" cm="1">
        <f t="array" ref="R33" xml:space="preserve">
_xlfn.LET(
_xlpm.Z, SUM(IF($A33="x",_xlfn._xlws.FILTER($Q$6:$Q$65,$A$6:$A$65="x"),_xlfn._xlws.FILTER($Q$6:$Q$65,$A$6:$A$65&lt;&gt;"x"))),
IF(_xlpm.Z&lt;&gt;0,Q33/_xlpm.Z,""))</f>
        <v/>
      </c>
      <c r="S33" s="26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8"/>
      <c r="AE33" s="28"/>
      <c r="AF33" s="23" t="str">
        <f t="shared" ref="AF33:AU34" si="87">_xlfn.LET(
_xlpm.project_monat,AF$3,
_xlpm.start_monat,$F33,
_xlpm.ende_monat,$G33,
IF(AND(_xlpm.project_monat&gt;=_xlpm.start_monat,_xlpm.project_monat&lt;=_xlpm.ende_monat),IF($A33="x",2,1),""))</f>
        <v/>
      </c>
      <c r="AG33" s="23" t="str">
        <f t="shared" si="87"/>
        <v/>
      </c>
      <c r="AH33" s="23" t="str">
        <f t="shared" si="87"/>
        <v/>
      </c>
      <c r="AI33" s="23" t="str">
        <f t="shared" si="87"/>
        <v/>
      </c>
      <c r="AJ33" s="23" t="str">
        <f t="shared" si="87"/>
        <v/>
      </c>
      <c r="AK33" s="23" t="str">
        <f t="shared" si="87"/>
        <v/>
      </c>
      <c r="AL33" s="23" t="str">
        <f t="shared" si="87"/>
        <v/>
      </c>
      <c r="AM33" s="23" t="str">
        <f t="shared" si="87"/>
        <v/>
      </c>
      <c r="AN33" s="23" t="str">
        <f t="shared" si="87"/>
        <v/>
      </c>
      <c r="AO33" s="23" t="str">
        <f t="shared" si="87"/>
        <v/>
      </c>
      <c r="AP33" s="23" t="str">
        <f t="shared" si="87"/>
        <v/>
      </c>
      <c r="AQ33" s="23" t="str">
        <f t="shared" si="87"/>
        <v/>
      </c>
      <c r="AR33" s="23" t="str">
        <f t="shared" si="87"/>
        <v/>
      </c>
      <c r="AS33" s="23" t="str">
        <f t="shared" si="87"/>
        <v/>
      </c>
      <c r="AT33" s="23" t="str">
        <f t="shared" si="87"/>
        <v/>
      </c>
      <c r="AU33" s="23" t="str">
        <f t="shared" si="87"/>
        <v/>
      </c>
      <c r="AV33" s="23" t="str">
        <f t="shared" si="82"/>
        <v/>
      </c>
      <c r="AW33" s="23" t="str">
        <f t="shared" si="82"/>
        <v/>
      </c>
      <c r="AX33" s="23" t="str">
        <f t="shared" si="82"/>
        <v/>
      </c>
      <c r="AY33" s="23" t="str">
        <f t="shared" si="82"/>
        <v/>
      </c>
      <c r="AZ33" s="23" t="str">
        <f t="shared" si="82"/>
        <v/>
      </c>
      <c r="BA33" s="23" t="str">
        <f t="shared" si="82"/>
        <v/>
      </c>
      <c r="BB33" s="23" t="str">
        <f t="shared" si="82"/>
        <v/>
      </c>
      <c r="BC33" s="23" t="str">
        <f t="shared" si="82"/>
        <v/>
      </c>
      <c r="BD33" s="23" t="str">
        <f t="shared" si="82"/>
        <v/>
      </c>
      <c r="BE33" s="23" t="str">
        <f t="shared" si="82"/>
        <v/>
      </c>
      <c r="BF33" s="23" t="str">
        <f t="shared" si="82"/>
        <v/>
      </c>
      <c r="BG33" s="23" t="str">
        <f t="shared" si="82"/>
        <v/>
      </c>
      <c r="BH33" s="23" t="str">
        <f t="shared" si="82"/>
        <v/>
      </c>
      <c r="BI33" s="23" t="str">
        <f t="shared" si="82"/>
        <v/>
      </c>
      <c r="BJ33" s="23" t="str">
        <f t="shared" si="82"/>
        <v/>
      </c>
      <c r="BK33" s="23" t="str">
        <f t="shared" ref="BK33:BZ34" si="88">_xlfn.LET(
_xlpm.project_monat,BK$3,
_xlpm.start_monat,$F33,
_xlpm.ende_monat,$G33,
IF(AND(_xlpm.project_monat&gt;=_xlpm.start_monat,_xlpm.project_monat&lt;=_xlpm.ende_monat),IF($A33="x",2,1),""))</f>
        <v/>
      </c>
      <c r="BL33" s="23" t="str">
        <f t="shared" si="88"/>
        <v/>
      </c>
      <c r="BM33" s="23" t="str">
        <f t="shared" si="88"/>
        <v/>
      </c>
      <c r="BN33" s="23" t="str">
        <f t="shared" si="88"/>
        <v/>
      </c>
      <c r="BO33" s="23" t="str">
        <f t="shared" si="88"/>
        <v/>
      </c>
      <c r="BP33" s="23" t="str">
        <f t="shared" si="88"/>
        <v/>
      </c>
      <c r="BQ33" s="23" t="str">
        <f t="shared" si="88"/>
        <v/>
      </c>
      <c r="BR33" s="23" t="str">
        <f t="shared" si="88"/>
        <v/>
      </c>
      <c r="BS33" s="23" t="str">
        <f t="shared" si="88"/>
        <v/>
      </c>
      <c r="BT33" s="23" t="str">
        <f t="shared" si="88"/>
        <v/>
      </c>
      <c r="BU33" s="23" t="str">
        <f t="shared" si="88"/>
        <v/>
      </c>
      <c r="BV33" s="23" t="str">
        <f t="shared" si="88"/>
        <v/>
      </c>
      <c r="BW33" s="23" t="str">
        <f t="shared" si="88"/>
        <v/>
      </c>
      <c r="BX33" s="23" t="str">
        <f t="shared" si="88"/>
        <v/>
      </c>
      <c r="BY33" s="23" t="str">
        <f t="shared" si="88"/>
        <v/>
      </c>
      <c r="BZ33" s="23" t="str">
        <f t="shared" si="88"/>
        <v/>
      </c>
      <c r="CA33" s="23" t="str">
        <f t="shared" si="85"/>
        <v/>
      </c>
      <c r="CB33" s="23" t="str">
        <f t="shared" si="85"/>
        <v/>
      </c>
      <c r="CC33" s="23" t="str">
        <f t="shared" si="85"/>
        <v/>
      </c>
      <c r="CD33" s="23" t="str">
        <f t="shared" si="85"/>
        <v/>
      </c>
      <c r="CE33" s="23" t="str">
        <f t="shared" si="85"/>
        <v/>
      </c>
      <c r="CF33" s="23" t="str">
        <f t="shared" si="85"/>
        <v/>
      </c>
      <c r="CG33" s="23" t="str">
        <f t="shared" si="85"/>
        <v/>
      </c>
      <c r="CH33" s="23" t="str">
        <f t="shared" si="85"/>
        <v/>
      </c>
      <c r="CI33" s="23" t="str">
        <f t="shared" si="85"/>
        <v/>
      </c>
      <c r="CJ33" s="23" t="str">
        <f t="shared" si="85"/>
        <v/>
      </c>
      <c r="CK33" s="23" t="str">
        <f t="shared" si="85"/>
        <v/>
      </c>
      <c r="CL33" s="23" t="str">
        <f t="shared" si="85"/>
        <v/>
      </c>
      <c r="CM33" s="23" t="str">
        <f t="shared" si="85"/>
        <v/>
      </c>
      <c r="CN33" s="23" t="str">
        <f t="shared" si="85"/>
        <v/>
      </c>
      <c r="CO33" s="23" t="str">
        <f t="shared" si="86"/>
        <v/>
      </c>
      <c r="CP33" s="23" t="str">
        <f t="shared" si="86"/>
        <v/>
      </c>
      <c r="CQ33" s="23" t="str">
        <f t="shared" si="86"/>
        <v/>
      </c>
      <c r="CR33" s="23" t="str">
        <f t="shared" si="86"/>
        <v/>
      </c>
      <c r="CS33" s="23" t="str">
        <f t="shared" si="86"/>
        <v/>
      </c>
      <c r="CT33" s="23" t="str">
        <f t="shared" si="86"/>
        <v/>
      </c>
      <c r="CU33" s="23" t="str">
        <f t="shared" si="86"/>
        <v/>
      </c>
      <c r="CV33" s="23" t="str">
        <f t="shared" si="86"/>
        <v/>
      </c>
      <c r="CW33" s="23" t="str">
        <f t="shared" si="86"/>
        <v/>
      </c>
      <c r="CX33" s="23" t="str">
        <f t="shared" si="86"/>
        <v/>
      </c>
      <c r="CY33" s="23" t="str">
        <f t="shared" si="86"/>
        <v/>
      </c>
      <c r="CZ33" s="23" t="str">
        <f t="shared" si="86"/>
        <v/>
      </c>
      <c r="DA33" s="23" t="str">
        <f t="shared" si="86"/>
        <v/>
      </c>
      <c r="DB33" s="23" t="str">
        <f t="shared" si="86"/>
        <v/>
      </c>
      <c r="DC33" s="23" t="str">
        <f t="shared" si="86"/>
        <v/>
      </c>
      <c r="DD33" s="23" t="str">
        <f t="shared" si="80"/>
        <v/>
      </c>
      <c r="DE33" s="23" t="str">
        <f t="shared" si="79"/>
        <v/>
      </c>
      <c r="DF33" s="23" t="str">
        <f t="shared" si="79"/>
        <v/>
      </c>
      <c r="DG33" s="23" t="str">
        <f t="shared" si="79"/>
        <v/>
      </c>
      <c r="DH33" s="23" t="str">
        <f t="shared" si="79"/>
        <v/>
      </c>
      <c r="DI33" s="23" t="str">
        <f t="shared" si="79"/>
        <v/>
      </c>
      <c r="DJ33" s="23" t="str">
        <f t="shared" si="79"/>
        <v/>
      </c>
      <c r="DK33" s="23" t="str">
        <f t="shared" si="79"/>
        <v/>
      </c>
      <c r="DO33" s="61">
        <f t="shared" si="53"/>
        <v>28</v>
      </c>
      <c r="DP33" s="61">
        <f>IF($A33&lt;&gt;"x",$L33*SUMIFS($AF33:$DK33,$AF$4:$DK$4,Jahresscheiben!C$2),0)</f>
        <v>0</v>
      </c>
      <c r="DQ33" s="61">
        <f>IF($A33&lt;&gt;"x",$L33*SUMIFS($AF33:$DK33,$AF$4:$DK$4,Jahresscheiben!D$2),0)</f>
        <v>0</v>
      </c>
      <c r="DR33" s="61">
        <f>IF($A33&lt;&gt;"x",$L33*SUMIFS($AF33:$DK33,$AF$4:$DK$4,Jahresscheiben!E$2),0)</f>
        <v>0</v>
      </c>
      <c r="DS33" s="61">
        <f>IF($A33&lt;&gt;"x",$L33*SUMIFS($AF33:$DK33,$AF$4:$DK$4,Jahresscheiben!F$2),0)</f>
        <v>0</v>
      </c>
      <c r="DT33" s="61">
        <f>IF($A33&lt;&gt;"x",$L33*SUMIFS($AF33:$DK33,$AF$4:$DK$4,Jahresscheiben!G$2),0)</f>
        <v>0</v>
      </c>
      <c r="DU33" s="61">
        <f>IF($A33&lt;&gt;"x",$L33*SUMIFS($AF33:$DK33,$AF$4:$DK$4,Jahresscheiben!H$2),0)</f>
        <v>0</v>
      </c>
      <c r="DV33" s="61">
        <f>IF($A33&lt;&gt;"x",$L33*SUMIFS($AF33:$DK33,$AF$4:$DK$4,Jahresscheiben!I$2),0)</f>
        <v>0</v>
      </c>
      <c r="DW33" s="85"/>
      <c r="DX33" s="61">
        <f t="shared" si="54"/>
        <v>28</v>
      </c>
      <c r="DY33" s="85">
        <f>IF($A33="x",$L33*SUMIFS($AF33:$DK33,$AF$4:$DK$4,Jahresscheiben!C$2)/2,0)</f>
        <v>0</v>
      </c>
      <c r="DZ33" s="85">
        <f>IF($A33="x",$L33*SUMIFS($AF33:$DK33,$AF$4:$DK$4,Jahresscheiben!D$2)/2,0)</f>
        <v>0</v>
      </c>
      <c r="EA33" s="85">
        <f>IF($A33="x",$L33*SUMIFS($AF33:$DK33,$AF$4:$DK$4,Jahresscheiben!E$2)/2,0)</f>
        <v>0</v>
      </c>
      <c r="EB33" s="85">
        <f>IF($A33="x",$L33*SUMIFS($AF33:$DK33,$AF$4:$DK$4,Jahresscheiben!F$2)/2,0)</f>
        <v>0</v>
      </c>
      <c r="EC33" s="85">
        <f>IF($A33="x",$L33*SUMIFS($AF33:$DK33,$AF$4:$DK$4,Jahresscheiben!G$2)/2,0)</f>
        <v>0</v>
      </c>
      <c r="ED33" s="85">
        <f>IF($A33="x",$L33*SUMIFS($AF33:$DK33,$AF$4:$DK$4,Jahresscheiben!H$2)/2,0)</f>
        <v>0</v>
      </c>
      <c r="EE33" s="85">
        <f>IF($A33="x",$L33*SUMIFS($AF33:$DK33,$AF$4:$DK$4,Jahresscheiben!I$2)/2,0)</f>
        <v>0</v>
      </c>
      <c r="EF33" s="85"/>
      <c r="EG33" s="61">
        <f t="shared" si="55"/>
        <v>28</v>
      </c>
      <c r="EH33" s="85" cm="1">
        <f t="array" ref="EH3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33" s="85" cm="1">
        <f t="array" ref="EI3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33" s="85" cm="1">
        <f t="array" ref="EJ3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33" s="85" cm="1">
        <f t="array" ref="EK3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33" s="85" cm="1">
        <f t="array" ref="EL3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33" s="85" cm="1">
        <f t="array" ref="EM3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33" s="85" cm="1">
        <f t="array" ref="EN3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33" s="85"/>
      <c r="EQ33" s="61">
        <f t="shared" si="56"/>
        <v>28</v>
      </c>
      <c r="ER33" s="62">
        <f>IF($A33&lt;&gt;"x",$P33*SUMIFS($AF33:$DK33,$AF$4:$DK$4,Jahresscheiben!C$2),0)</f>
        <v>0</v>
      </c>
      <c r="ES33" s="62">
        <f>IF($A33&lt;&gt;"x",$P33*SUMIFS($AF33:$DK33,$AF$4:$DK$4,Jahresscheiben!D$2),0)</f>
        <v>0</v>
      </c>
      <c r="ET33" s="62">
        <f>IF($A33&lt;&gt;"x",$P33*SUMIFS($AF33:$DK33,$AF$4:$DK$4,Jahresscheiben!E$2),0)</f>
        <v>0</v>
      </c>
      <c r="EU33" s="62">
        <f>IF($A33&lt;&gt;"x",$P33*SUMIFS($AF33:$DK33,$AF$4:$DK$4,Jahresscheiben!F$2),0)</f>
        <v>0</v>
      </c>
      <c r="EV33" s="62">
        <f>IF($A33&lt;&gt;"x",$P33*SUMIFS($AF33:$DK33,$AF$4:$DK$4,Jahresscheiben!G$2),0)</f>
        <v>0</v>
      </c>
      <c r="EW33" s="62">
        <f>IF($A33&lt;&gt;"x",$P33*SUMIFS($AF33:$DK33,$AF$4:$DK$4,Jahresscheiben!H$2),0)</f>
        <v>0</v>
      </c>
      <c r="EX33" s="62">
        <f>IF($A33&lt;&gt;"x",$P33*SUMIFS($AF33:$DK33,$AF$4:$DK$4,Jahresscheiben!I$2),0)</f>
        <v>0</v>
      </c>
      <c r="EY33" s="85"/>
      <c r="EZ33" s="61">
        <f t="shared" si="57"/>
        <v>28</v>
      </c>
      <c r="FA33" s="85">
        <f>IF($A33="x",$P33*SUMIFS($AF33:$DK33,$AF$4:$DK$4,Jahresscheiben!C$2)/2,0)</f>
        <v>0</v>
      </c>
      <c r="FB33" s="85">
        <f>IF($A33="x",$P33*SUMIFS($AF33:$DK33,$AF$4:$DK$4,Jahresscheiben!D$2)/2,0)</f>
        <v>0</v>
      </c>
      <c r="FC33" s="85">
        <f>IF($A33="x",$P33*SUMIFS($AF33:$DK33,$AF$4:$DK$4,Jahresscheiben!E$2)/2,0)</f>
        <v>0</v>
      </c>
      <c r="FD33" s="85">
        <f>IF($A33="x",$P33*SUMIFS($AF33:$DK33,$AF$4:$DK$4,Jahresscheiben!F$2)/2,0)</f>
        <v>0</v>
      </c>
      <c r="FE33" s="85">
        <f>IF($A33="x",$P33*SUMIFS($AF33:$DK33,$AF$4:$DK$4,Jahresscheiben!G$2)/2,0)</f>
        <v>0</v>
      </c>
      <c r="FF33" s="85">
        <f>IF($A33="x",$P33*SUMIFS($AF33:$DK33,$AF$4:$DK$4,Jahresscheiben!H$2)/2,0)</f>
        <v>0</v>
      </c>
      <c r="FG33" s="85">
        <f>IF($A33="x",$P33*SUMIFS($AF33:$DK33,$AF$4:$DK$4,Jahresscheiben!I$2)/2,0)</f>
        <v>0</v>
      </c>
      <c r="FH33" s="85"/>
      <c r="FI33" s="61">
        <f t="shared" si="58"/>
        <v>28</v>
      </c>
      <c r="FJ33" s="85" cm="1">
        <f t="array" ref="FJ3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33" s="85" cm="1">
        <f t="array" ref="FK3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33" s="85" cm="1">
        <f t="array" ref="FL3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33" s="85" cm="1">
        <f t="array" ref="FM3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33" s="85" cm="1">
        <f t="array" ref="FN3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33" s="85" cm="1">
        <f t="array" ref="FO3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33" s="85" cm="1">
        <f t="array" ref="FP3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34" spans="1:172" ht="17" hidden="1" customHeight="1" thickBot="1" x14ac:dyDescent="0.55000000000000004">
      <c r="A34" s="30" t="s">
        <v>24</v>
      </c>
      <c r="B34" s="31">
        <f t="shared" si="75"/>
        <v>0</v>
      </c>
      <c r="C34" s="22">
        <f t="shared" si="51"/>
        <v>29</v>
      </c>
      <c r="D34" s="70"/>
      <c r="E34" s="7"/>
      <c r="F34" s="7"/>
      <c r="G34" s="7"/>
      <c r="H34" s="7"/>
      <c r="I34" s="6" t="str">
        <f t="shared" si="76"/>
        <v/>
      </c>
      <c r="J34" s="6" t="str">
        <f t="shared" si="77"/>
        <v/>
      </c>
      <c r="K34" s="7"/>
      <c r="L34" s="53">
        <v>1</v>
      </c>
      <c r="M34" s="60" cm="1">
        <f t="array" ref="M34" xml:space="preserve">
_xlfn.LET(
_xlpm.Z, _xlfn._xlws.FILTER($DY$6:$EE$65,$DX$6:$DX$65=C34),
_xlpm.Q,_xlfn._xlws.FILTER($DP$6:$DV$65,$DO$6:$DO$65=C34),
IF($A34="x",SUMPRODUCT(_xlpm.Z,$DY$73:$EE$73,EH34:EN34),SUMPRODUCT(_xlpm.Q,$DP$73:$DV$73)))</f>
        <v>0</v>
      </c>
      <c r="N34" s="54" t="str" cm="1">
        <f t="array" ref="N34" xml:space="preserve">
_xlfn.LET(
_xlpm.Z, SUM(IF($A34="x",_xlfn._xlws.FILTER($M$6:$M$65,$A$6:$A$65="x"),_xlfn._xlws.FILTER($M$6:$M$65,$A$6:$A$65&lt;&gt;"x"))),
IF(_xlpm.Z&lt;&gt;0,M34/_xlpm.Z,""))</f>
        <v/>
      </c>
      <c r="O34" s="7"/>
      <c r="P34" s="53">
        <f t="shared" si="78"/>
        <v>1</v>
      </c>
      <c r="Q34" s="60" cm="1">
        <f t="array" ref="Q34" xml:space="preserve">
_xlfn.LET(
_xlpm.Z, _xlfn._xlws.FILTER($FA$6:$FG$65,$EZ$6:$EZ$65=C34),
_xlpm.Q,_xlfn._xlws.FILTER($ER$6:$EX$65,$EQ$6:$EQ$65=C34),
IF($A34="x",SUMPRODUCT(_xlpm.Z,$FA$73:$FG$73,FJ34:FP34),SUMPRODUCT(_xlpm.Q,$ER$73:$EX$73)))</f>
        <v>0</v>
      </c>
      <c r="R34" s="54" t="str" cm="1">
        <f t="array" ref="R34" xml:space="preserve">
_xlfn.LET(
_xlpm.Z, SUM(IF($A34="x",_xlfn._xlws.FILTER($Q$6:$Q$65,$A$6:$A$65="x"),_xlfn._xlws.FILTER($Q$6:$Q$65,$A$6:$A$65&lt;&gt;"x"))),
IF(_xlpm.Z&lt;&gt;0,Q34/_xlpm.Z,""))</f>
        <v/>
      </c>
      <c r="S34" s="7"/>
      <c r="T34" s="6"/>
      <c r="U34" s="6"/>
      <c r="V34" s="6"/>
      <c r="W34" s="6"/>
      <c r="X34" s="6"/>
      <c r="Y34" s="6"/>
      <c r="Z34" s="6"/>
      <c r="AA34" s="6"/>
      <c r="AB34" s="6"/>
      <c r="AC34" s="6"/>
      <c r="AD34" s="7"/>
      <c r="AE34" s="7"/>
      <c r="AF34" s="23" t="str">
        <f t="shared" si="87"/>
        <v/>
      </c>
      <c r="AG34" s="23" t="str">
        <f t="shared" si="87"/>
        <v/>
      </c>
      <c r="AH34" s="23" t="str">
        <f t="shared" si="87"/>
        <v/>
      </c>
      <c r="AI34" s="23" t="str">
        <f t="shared" si="87"/>
        <v/>
      </c>
      <c r="AJ34" s="23" t="str">
        <f t="shared" si="87"/>
        <v/>
      </c>
      <c r="AK34" s="23" t="str">
        <f t="shared" si="87"/>
        <v/>
      </c>
      <c r="AL34" s="23" t="str">
        <f t="shared" si="87"/>
        <v/>
      </c>
      <c r="AM34" s="23" t="str">
        <f t="shared" si="87"/>
        <v/>
      </c>
      <c r="AN34" s="23" t="str">
        <f t="shared" si="87"/>
        <v/>
      </c>
      <c r="AO34" s="23" t="str">
        <f t="shared" si="87"/>
        <v/>
      </c>
      <c r="AP34" s="23" t="str">
        <f t="shared" si="87"/>
        <v/>
      </c>
      <c r="AQ34" s="23" t="str">
        <f t="shared" si="87"/>
        <v/>
      </c>
      <c r="AR34" s="23" t="str">
        <f t="shared" si="87"/>
        <v/>
      </c>
      <c r="AS34" s="23" t="str">
        <f t="shared" si="87"/>
        <v/>
      </c>
      <c r="AT34" s="23" t="str">
        <f t="shared" si="87"/>
        <v/>
      </c>
      <c r="AU34" s="23" t="str">
        <f t="shared" si="87"/>
        <v/>
      </c>
      <c r="AV34" s="23" t="str">
        <f t="shared" si="82"/>
        <v/>
      </c>
      <c r="AW34" s="23" t="str">
        <f t="shared" si="82"/>
        <v/>
      </c>
      <c r="AX34" s="23" t="str">
        <f t="shared" si="82"/>
        <v/>
      </c>
      <c r="AY34" s="23" t="str">
        <f t="shared" si="82"/>
        <v/>
      </c>
      <c r="AZ34" s="23" t="str">
        <f t="shared" si="82"/>
        <v/>
      </c>
      <c r="BA34" s="23" t="str">
        <f t="shared" si="82"/>
        <v/>
      </c>
      <c r="BB34" s="23" t="str">
        <f t="shared" si="82"/>
        <v/>
      </c>
      <c r="BC34" s="23" t="str">
        <f t="shared" si="82"/>
        <v/>
      </c>
      <c r="BD34" s="23" t="str">
        <f t="shared" si="82"/>
        <v/>
      </c>
      <c r="BE34" s="23" t="str">
        <f t="shared" si="82"/>
        <v/>
      </c>
      <c r="BF34" s="23" t="str">
        <f t="shared" si="82"/>
        <v/>
      </c>
      <c r="BG34" s="23" t="str">
        <f t="shared" si="82"/>
        <v/>
      </c>
      <c r="BH34" s="23" t="str">
        <f t="shared" si="82"/>
        <v/>
      </c>
      <c r="BI34" s="23" t="str">
        <f t="shared" si="82"/>
        <v/>
      </c>
      <c r="BJ34" s="23" t="str">
        <f t="shared" si="82"/>
        <v/>
      </c>
      <c r="BK34" s="23" t="str">
        <f t="shared" si="88"/>
        <v/>
      </c>
      <c r="BL34" s="23" t="str">
        <f t="shared" si="88"/>
        <v/>
      </c>
      <c r="BM34" s="23" t="str">
        <f t="shared" si="88"/>
        <v/>
      </c>
      <c r="BN34" s="23" t="str">
        <f t="shared" si="88"/>
        <v/>
      </c>
      <c r="BO34" s="23" t="str">
        <f t="shared" si="88"/>
        <v/>
      </c>
      <c r="BP34" s="23" t="str">
        <f t="shared" si="88"/>
        <v/>
      </c>
      <c r="BQ34" s="23" t="str">
        <f t="shared" si="88"/>
        <v/>
      </c>
      <c r="BR34" s="23" t="str">
        <f t="shared" si="88"/>
        <v/>
      </c>
      <c r="BS34" s="23" t="str">
        <f t="shared" si="88"/>
        <v/>
      </c>
      <c r="BT34" s="23" t="str">
        <f t="shared" si="88"/>
        <v/>
      </c>
      <c r="BU34" s="23" t="str">
        <f t="shared" si="88"/>
        <v/>
      </c>
      <c r="BV34" s="23" t="str">
        <f t="shared" si="88"/>
        <v/>
      </c>
      <c r="BW34" s="23" t="str">
        <f t="shared" si="88"/>
        <v/>
      </c>
      <c r="BX34" s="23" t="str">
        <f t="shared" si="88"/>
        <v/>
      </c>
      <c r="BY34" s="23" t="str">
        <f t="shared" si="88"/>
        <v/>
      </c>
      <c r="BZ34" s="23" t="str">
        <f t="shared" si="88"/>
        <v/>
      </c>
      <c r="CA34" s="23" t="str">
        <f t="shared" si="85"/>
        <v/>
      </c>
      <c r="CB34" s="23" t="str">
        <f t="shared" si="85"/>
        <v/>
      </c>
      <c r="CC34" s="23" t="str">
        <f t="shared" si="85"/>
        <v/>
      </c>
      <c r="CD34" s="23" t="str">
        <f t="shared" si="85"/>
        <v/>
      </c>
      <c r="CE34" s="23" t="str">
        <f t="shared" si="85"/>
        <v/>
      </c>
      <c r="CF34" s="23" t="str">
        <f t="shared" si="85"/>
        <v/>
      </c>
      <c r="CG34" s="23" t="str">
        <f t="shared" si="85"/>
        <v/>
      </c>
      <c r="CH34" s="23" t="str">
        <f t="shared" si="85"/>
        <v/>
      </c>
      <c r="CI34" s="23" t="str">
        <f t="shared" si="85"/>
        <v/>
      </c>
      <c r="CJ34" s="23" t="str">
        <f t="shared" si="85"/>
        <v/>
      </c>
      <c r="CK34" s="23" t="str">
        <f t="shared" si="85"/>
        <v/>
      </c>
      <c r="CL34" s="23" t="str">
        <f t="shared" si="85"/>
        <v/>
      </c>
      <c r="CM34" s="23" t="str">
        <f t="shared" si="85"/>
        <v/>
      </c>
      <c r="CN34" s="23" t="str">
        <f t="shared" si="85"/>
        <v/>
      </c>
      <c r="CO34" s="23" t="str">
        <f t="shared" si="86"/>
        <v/>
      </c>
      <c r="CP34" s="23" t="str">
        <f t="shared" si="86"/>
        <v/>
      </c>
      <c r="CQ34" s="23" t="str">
        <f t="shared" si="86"/>
        <v/>
      </c>
      <c r="CR34" s="23" t="str">
        <f t="shared" si="86"/>
        <v/>
      </c>
      <c r="CS34" s="23" t="str">
        <f t="shared" si="86"/>
        <v/>
      </c>
      <c r="CT34" s="23" t="str">
        <f t="shared" si="86"/>
        <v/>
      </c>
      <c r="CU34" s="23" t="str">
        <f t="shared" si="86"/>
        <v/>
      </c>
      <c r="CV34" s="23" t="str">
        <f t="shared" si="86"/>
        <v/>
      </c>
      <c r="CW34" s="23" t="str">
        <f t="shared" si="86"/>
        <v/>
      </c>
      <c r="CX34" s="23" t="str">
        <f t="shared" si="86"/>
        <v/>
      </c>
      <c r="CY34" s="23" t="str">
        <f t="shared" si="86"/>
        <v/>
      </c>
      <c r="CZ34" s="23" t="str">
        <f t="shared" si="86"/>
        <v/>
      </c>
      <c r="DA34" s="23" t="str">
        <f t="shared" si="86"/>
        <v/>
      </c>
      <c r="DB34" s="23" t="str">
        <f t="shared" si="86"/>
        <v/>
      </c>
      <c r="DC34" s="23" t="str">
        <f t="shared" si="86"/>
        <v/>
      </c>
      <c r="DD34" s="23" t="str">
        <f t="shared" si="80"/>
        <v/>
      </c>
      <c r="DE34" s="23" t="str">
        <f t="shared" si="79"/>
        <v/>
      </c>
      <c r="DF34" s="23" t="str">
        <f t="shared" si="79"/>
        <v/>
      </c>
      <c r="DG34" s="23" t="str">
        <f t="shared" si="79"/>
        <v/>
      </c>
      <c r="DH34" s="23" t="str">
        <f t="shared" si="79"/>
        <v/>
      </c>
      <c r="DI34" s="23" t="str">
        <f t="shared" si="79"/>
        <v/>
      </c>
      <c r="DJ34" s="23" t="str">
        <f t="shared" si="79"/>
        <v/>
      </c>
      <c r="DK34" s="23" t="str">
        <f t="shared" si="79"/>
        <v/>
      </c>
      <c r="DO34" s="61">
        <f t="shared" si="53"/>
        <v>29</v>
      </c>
      <c r="DP34" s="61">
        <f>IF($A34&lt;&gt;"x",$L34*SUMIFS($AF34:$DK34,$AF$4:$DK$4,Jahresscheiben!C$2),0)</f>
        <v>0</v>
      </c>
      <c r="DQ34" s="61">
        <f>IF($A34&lt;&gt;"x",$L34*SUMIFS($AF34:$DK34,$AF$4:$DK$4,Jahresscheiben!D$2),0)</f>
        <v>0</v>
      </c>
      <c r="DR34" s="61">
        <f>IF($A34&lt;&gt;"x",$L34*SUMIFS($AF34:$DK34,$AF$4:$DK$4,Jahresscheiben!E$2),0)</f>
        <v>0</v>
      </c>
      <c r="DS34" s="61">
        <f>IF($A34&lt;&gt;"x",$L34*SUMIFS($AF34:$DK34,$AF$4:$DK$4,Jahresscheiben!F$2),0)</f>
        <v>0</v>
      </c>
      <c r="DT34" s="61">
        <f>IF($A34&lt;&gt;"x",$L34*SUMIFS($AF34:$DK34,$AF$4:$DK$4,Jahresscheiben!G$2),0)</f>
        <v>0</v>
      </c>
      <c r="DU34" s="61">
        <f>IF($A34&lt;&gt;"x",$L34*SUMIFS($AF34:$DK34,$AF$4:$DK$4,Jahresscheiben!H$2),0)</f>
        <v>0</v>
      </c>
      <c r="DV34" s="61">
        <f>IF($A34&lt;&gt;"x",$L34*SUMIFS($AF34:$DK34,$AF$4:$DK$4,Jahresscheiben!I$2),0)</f>
        <v>0</v>
      </c>
      <c r="DW34" s="85"/>
      <c r="DX34" s="61">
        <f t="shared" si="54"/>
        <v>29</v>
      </c>
      <c r="DY34" s="85">
        <f>IF($A34="x",$L34*SUMIFS($AF34:$DK34,$AF$4:$DK$4,Jahresscheiben!C$2)/2,0)</f>
        <v>0</v>
      </c>
      <c r="DZ34" s="85">
        <f>IF($A34="x",$L34*SUMIFS($AF34:$DK34,$AF$4:$DK$4,Jahresscheiben!D$2)/2,0)</f>
        <v>0</v>
      </c>
      <c r="EA34" s="85">
        <f>IF($A34="x",$L34*SUMIFS($AF34:$DK34,$AF$4:$DK$4,Jahresscheiben!E$2)/2,0)</f>
        <v>0</v>
      </c>
      <c r="EB34" s="85">
        <f>IF($A34="x",$L34*SUMIFS($AF34:$DK34,$AF$4:$DK$4,Jahresscheiben!F$2)/2,0)</f>
        <v>0</v>
      </c>
      <c r="EC34" s="85">
        <f>IF($A34="x",$L34*SUMIFS($AF34:$DK34,$AF$4:$DK$4,Jahresscheiben!G$2)/2,0)</f>
        <v>0</v>
      </c>
      <c r="ED34" s="85">
        <f>IF($A34="x",$L34*SUMIFS($AF34:$DK34,$AF$4:$DK$4,Jahresscheiben!H$2)/2,0)</f>
        <v>0</v>
      </c>
      <c r="EE34" s="85">
        <f>IF($A34="x",$L34*SUMIFS($AF34:$DK34,$AF$4:$DK$4,Jahresscheiben!I$2)/2,0)</f>
        <v>0</v>
      </c>
      <c r="EF34" s="85"/>
      <c r="EG34" s="61">
        <f t="shared" si="55"/>
        <v>29</v>
      </c>
      <c r="EH34" s="85" cm="1">
        <f t="array" ref="EH3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34" s="85" cm="1">
        <f t="array" ref="EI3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34" s="85" cm="1">
        <f t="array" ref="EJ3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34" s="85" cm="1">
        <f t="array" ref="EK3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34" s="85" cm="1">
        <f t="array" ref="EL3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34" s="85" cm="1">
        <f t="array" ref="EM3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34" s="85" cm="1">
        <f t="array" ref="EN3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34" s="85"/>
      <c r="EQ34" s="61">
        <f t="shared" si="56"/>
        <v>29</v>
      </c>
      <c r="ER34" s="62">
        <f>IF($A34&lt;&gt;"x",$P34*SUMIFS($AF34:$DK34,$AF$4:$DK$4,Jahresscheiben!C$2),0)</f>
        <v>0</v>
      </c>
      <c r="ES34" s="62">
        <f>IF($A34&lt;&gt;"x",$P34*SUMIFS($AF34:$DK34,$AF$4:$DK$4,Jahresscheiben!D$2),0)</f>
        <v>0</v>
      </c>
      <c r="ET34" s="62">
        <f>IF($A34&lt;&gt;"x",$P34*SUMIFS($AF34:$DK34,$AF$4:$DK$4,Jahresscheiben!E$2),0)</f>
        <v>0</v>
      </c>
      <c r="EU34" s="62">
        <f>IF($A34&lt;&gt;"x",$P34*SUMIFS($AF34:$DK34,$AF$4:$DK$4,Jahresscheiben!F$2),0)</f>
        <v>0</v>
      </c>
      <c r="EV34" s="62">
        <f>IF($A34&lt;&gt;"x",$P34*SUMIFS($AF34:$DK34,$AF$4:$DK$4,Jahresscheiben!G$2),0)</f>
        <v>0</v>
      </c>
      <c r="EW34" s="62">
        <f>IF($A34&lt;&gt;"x",$P34*SUMIFS($AF34:$DK34,$AF$4:$DK$4,Jahresscheiben!H$2),0)</f>
        <v>0</v>
      </c>
      <c r="EX34" s="62">
        <f>IF($A34&lt;&gt;"x",$P34*SUMIFS($AF34:$DK34,$AF$4:$DK$4,Jahresscheiben!I$2),0)</f>
        <v>0</v>
      </c>
      <c r="EY34" s="85"/>
      <c r="EZ34" s="61">
        <f t="shared" si="57"/>
        <v>29</v>
      </c>
      <c r="FA34" s="85">
        <f>IF($A34="x",$P34*SUMIFS($AF34:$DK34,$AF$4:$DK$4,Jahresscheiben!C$2)/2,0)</f>
        <v>0</v>
      </c>
      <c r="FB34" s="85">
        <f>IF($A34="x",$P34*SUMIFS($AF34:$DK34,$AF$4:$DK$4,Jahresscheiben!D$2)/2,0)</f>
        <v>0</v>
      </c>
      <c r="FC34" s="85">
        <f>IF($A34="x",$P34*SUMIFS($AF34:$DK34,$AF$4:$DK$4,Jahresscheiben!E$2)/2,0)</f>
        <v>0</v>
      </c>
      <c r="FD34" s="85">
        <f>IF($A34="x",$P34*SUMIFS($AF34:$DK34,$AF$4:$DK$4,Jahresscheiben!F$2)/2,0)</f>
        <v>0</v>
      </c>
      <c r="FE34" s="85">
        <f>IF($A34="x",$P34*SUMIFS($AF34:$DK34,$AF$4:$DK$4,Jahresscheiben!G$2)/2,0)</f>
        <v>0</v>
      </c>
      <c r="FF34" s="85">
        <f>IF($A34="x",$P34*SUMIFS($AF34:$DK34,$AF$4:$DK$4,Jahresscheiben!H$2)/2,0)</f>
        <v>0</v>
      </c>
      <c r="FG34" s="85">
        <f>IF($A34="x",$P34*SUMIFS($AF34:$DK34,$AF$4:$DK$4,Jahresscheiben!I$2)/2,0)</f>
        <v>0</v>
      </c>
      <c r="FH34" s="85"/>
      <c r="FI34" s="61">
        <f t="shared" si="58"/>
        <v>29</v>
      </c>
      <c r="FJ34" s="85" cm="1">
        <f t="array" ref="FJ3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34" s="85" cm="1">
        <f t="array" ref="FK3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34" s="85" cm="1">
        <f t="array" ref="FL3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34" s="85" cm="1">
        <f t="array" ref="FM3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34" s="85" cm="1">
        <f t="array" ref="FN3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34" s="85" cm="1">
        <f t="array" ref="FO3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34" s="85" cm="1">
        <f t="array" ref="FP3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35" spans="1:172" ht="17" hidden="1" customHeight="1" thickBot="1" x14ac:dyDescent="0.55000000000000004">
      <c r="A35" s="30" t="s">
        <v>24</v>
      </c>
      <c r="B35" s="31">
        <f t="shared" si="50"/>
        <v>0</v>
      </c>
      <c r="C35" s="22">
        <f t="shared" si="51"/>
        <v>30</v>
      </c>
      <c r="D35" s="71"/>
      <c r="E35" s="26"/>
      <c r="F35" s="26"/>
      <c r="G35" s="26"/>
      <c r="H35" s="26"/>
      <c r="I35" s="6" t="str">
        <f t="shared" si="40"/>
        <v/>
      </c>
      <c r="J35" s="6" t="str">
        <f t="shared" si="41"/>
        <v/>
      </c>
      <c r="K35" s="26"/>
      <c r="L35" s="53">
        <v>1</v>
      </c>
      <c r="M35" s="60" cm="1">
        <f t="array" ref="M35" xml:space="preserve">
_xlfn.LET(
_xlpm.Z, _xlfn._xlws.FILTER($DY$6:$EE$65,$DX$6:$DX$65=C35),
_xlpm.Q,_xlfn._xlws.FILTER($DP$6:$DV$65,$DO$6:$DO$65=C35),
IF($A35="x",SUMPRODUCT(_xlpm.Z,$DY$73:$EE$73,EH35:EN35),SUMPRODUCT(_xlpm.Q,$DP$73:$DV$73)))</f>
        <v>0</v>
      </c>
      <c r="N35" s="54" t="str" cm="1">
        <f t="array" ref="N35" xml:space="preserve">
_xlfn.LET(
_xlpm.Z, SUM(IF($A35="x",_xlfn._xlws.FILTER($M$6:$M$65,$A$6:$A$65="x"),_xlfn._xlws.FILTER($M$6:$M$65,$A$6:$A$65&lt;&gt;"x"))),
IF(_xlpm.Z&lt;&gt;0,M35/_xlpm.Z,""))</f>
        <v/>
      </c>
      <c r="O35" s="26"/>
      <c r="P35" s="53">
        <f t="shared" si="52"/>
        <v>1</v>
      </c>
      <c r="Q35" s="60" cm="1">
        <f t="array" ref="Q35" xml:space="preserve">
_xlfn.LET(
_xlpm.Z, _xlfn._xlws.FILTER($FA$6:$FG$65,$EZ$6:$EZ$65=C35),
_xlpm.Q,_xlfn._xlws.FILTER($ER$6:$EX$65,$EQ$6:$EQ$65=C35),
IF($A35="x",SUMPRODUCT(_xlpm.Z,$FA$73:$FG$73,FJ35:FP35),SUMPRODUCT(_xlpm.Q,$ER$73:$EX$73)))</f>
        <v>0</v>
      </c>
      <c r="R35" s="54" t="str" cm="1">
        <f t="array" ref="R35" xml:space="preserve">
_xlfn.LET(
_xlpm.Z, SUM(IF($A35="x",_xlfn._xlws.FILTER($Q$6:$Q$65,$A$6:$A$65="x"),_xlfn._xlws.FILTER($Q$6:$Q$65,$A$6:$A$65&lt;&gt;"x"))),
IF(_xlpm.Z&lt;&gt;0,Q35/_xlpm.Z,""))</f>
        <v/>
      </c>
      <c r="S35" s="26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8"/>
      <c r="AE35" s="28"/>
      <c r="AF35" s="23" t="str">
        <f t="shared" si="67"/>
        <v/>
      </c>
      <c r="AG35" s="23" t="str">
        <f t="shared" si="67"/>
        <v/>
      </c>
      <c r="AH35" s="23" t="str">
        <f t="shared" si="67"/>
        <v/>
      </c>
      <c r="AI35" s="23" t="str">
        <f t="shared" si="67"/>
        <v/>
      </c>
      <c r="AJ35" s="23" t="str">
        <f t="shared" si="67"/>
        <v/>
      </c>
      <c r="AK35" s="23" t="str">
        <f t="shared" si="67"/>
        <v/>
      </c>
      <c r="AL35" s="23" t="str">
        <f t="shared" si="67"/>
        <v/>
      </c>
      <c r="AM35" s="23" t="str">
        <f t="shared" si="67"/>
        <v/>
      </c>
      <c r="AN35" s="23" t="str">
        <f t="shared" si="67"/>
        <v/>
      </c>
      <c r="AO35" s="23" t="str">
        <f t="shared" si="67"/>
        <v/>
      </c>
      <c r="AP35" s="23" t="str">
        <f t="shared" si="68"/>
        <v/>
      </c>
      <c r="AQ35" s="23" t="str">
        <f t="shared" si="68"/>
        <v/>
      </c>
      <c r="AR35" s="23" t="str">
        <f t="shared" si="68"/>
        <v/>
      </c>
      <c r="AS35" s="23" t="str">
        <f t="shared" si="68"/>
        <v/>
      </c>
      <c r="AT35" s="23" t="str">
        <f t="shared" si="68"/>
        <v/>
      </c>
      <c r="AU35" s="23" t="str">
        <f t="shared" si="68"/>
        <v/>
      </c>
      <c r="AV35" s="23" t="str">
        <f t="shared" si="68"/>
        <v/>
      </c>
      <c r="AW35" s="23" t="str">
        <f t="shared" si="68"/>
        <v/>
      </c>
      <c r="AX35" s="23" t="str">
        <f t="shared" si="68"/>
        <v/>
      </c>
      <c r="AY35" s="23" t="str">
        <f t="shared" si="68"/>
        <v/>
      </c>
      <c r="AZ35" s="23" t="str">
        <f t="shared" si="69"/>
        <v/>
      </c>
      <c r="BA35" s="23" t="str">
        <f t="shared" si="69"/>
        <v/>
      </c>
      <c r="BB35" s="23" t="str">
        <f t="shared" si="69"/>
        <v/>
      </c>
      <c r="BC35" s="23" t="str">
        <f t="shared" si="69"/>
        <v/>
      </c>
      <c r="BD35" s="23" t="str">
        <f t="shared" si="69"/>
        <v/>
      </c>
      <c r="BE35" s="23" t="str">
        <f t="shared" si="69"/>
        <v/>
      </c>
      <c r="BF35" s="23" t="str">
        <f t="shared" si="69"/>
        <v/>
      </c>
      <c r="BG35" s="23" t="str">
        <f t="shared" si="69"/>
        <v/>
      </c>
      <c r="BH35" s="23" t="str">
        <f t="shared" si="69"/>
        <v/>
      </c>
      <c r="BI35" s="23" t="str">
        <f t="shared" si="69"/>
        <v/>
      </c>
      <c r="BJ35" s="23" t="str">
        <f t="shared" si="70"/>
        <v/>
      </c>
      <c r="BK35" s="23" t="str">
        <f t="shared" si="70"/>
        <v/>
      </c>
      <c r="BL35" s="23" t="str">
        <f t="shared" si="70"/>
        <v/>
      </c>
      <c r="BM35" s="23" t="str">
        <f t="shared" si="70"/>
        <v/>
      </c>
      <c r="BN35" s="23" t="str">
        <f t="shared" si="70"/>
        <v/>
      </c>
      <c r="BO35" s="23" t="str">
        <f t="shared" si="70"/>
        <v/>
      </c>
      <c r="BP35" s="23" t="str">
        <f t="shared" si="70"/>
        <v/>
      </c>
      <c r="BQ35" s="23" t="str">
        <f t="shared" si="70"/>
        <v/>
      </c>
      <c r="BR35" s="23" t="str">
        <f t="shared" si="70"/>
        <v/>
      </c>
      <c r="BS35" s="23" t="str">
        <f t="shared" si="70"/>
        <v/>
      </c>
      <c r="BT35" s="23" t="str">
        <f t="shared" si="71"/>
        <v/>
      </c>
      <c r="BU35" s="23" t="str">
        <f t="shared" si="71"/>
        <v/>
      </c>
      <c r="BV35" s="23" t="str">
        <f t="shared" si="71"/>
        <v/>
      </c>
      <c r="BW35" s="23" t="str">
        <f t="shared" si="71"/>
        <v/>
      </c>
      <c r="BX35" s="23" t="str">
        <f t="shared" si="71"/>
        <v/>
      </c>
      <c r="BY35" s="23" t="str">
        <f t="shared" si="71"/>
        <v/>
      </c>
      <c r="BZ35" s="23" t="str">
        <f t="shared" si="71"/>
        <v/>
      </c>
      <c r="CA35" s="23" t="str">
        <f t="shared" si="71"/>
        <v/>
      </c>
      <c r="CB35" s="23" t="str">
        <f t="shared" si="71"/>
        <v/>
      </c>
      <c r="CC35" s="23" t="str">
        <f t="shared" si="71"/>
        <v/>
      </c>
      <c r="CD35" s="23" t="str">
        <f t="shared" si="72"/>
        <v/>
      </c>
      <c r="CE35" s="23" t="str">
        <f t="shared" si="72"/>
        <v/>
      </c>
      <c r="CF35" s="23" t="str">
        <f t="shared" si="72"/>
        <v/>
      </c>
      <c r="CG35" s="23" t="str">
        <f t="shared" si="72"/>
        <v/>
      </c>
      <c r="CH35" s="23" t="str">
        <f t="shared" si="72"/>
        <v/>
      </c>
      <c r="CI35" s="23" t="str">
        <f t="shared" si="72"/>
        <v/>
      </c>
      <c r="CJ35" s="23" t="str">
        <f t="shared" si="72"/>
        <v/>
      </c>
      <c r="CK35" s="23" t="str">
        <f t="shared" si="72"/>
        <v/>
      </c>
      <c r="CL35" s="23" t="str">
        <f t="shared" si="72"/>
        <v/>
      </c>
      <c r="CM35" s="23" t="str">
        <f t="shared" si="72"/>
        <v/>
      </c>
      <c r="CN35" s="23" t="str">
        <f t="shared" si="73"/>
        <v/>
      </c>
      <c r="CO35" s="23" t="str">
        <f t="shared" si="73"/>
        <v/>
      </c>
      <c r="CP35" s="23" t="str">
        <f t="shared" si="73"/>
        <v/>
      </c>
      <c r="CQ35" s="23" t="str">
        <f t="shared" si="73"/>
        <v/>
      </c>
      <c r="CR35" s="23" t="str">
        <f t="shared" si="73"/>
        <v/>
      </c>
      <c r="CS35" s="23" t="str">
        <f t="shared" si="73"/>
        <v/>
      </c>
      <c r="CT35" s="23" t="str">
        <f t="shared" si="73"/>
        <v/>
      </c>
      <c r="CU35" s="23" t="str">
        <f t="shared" si="73"/>
        <v/>
      </c>
      <c r="CV35" s="23" t="str">
        <f t="shared" si="73"/>
        <v/>
      </c>
      <c r="CW35" s="23" t="str">
        <f t="shared" si="73"/>
        <v/>
      </c>
      <c r="CX35" s="23" t="str">
        <f t="shared" si="74"/>
        <v/>
      </c>
      <c r="CY35" s="23" t="str">
        <f t="shared" si="74"/>
        <v/>
      </c>
      <c r="CZ35" s="23" t="str">
        <f t="shared" si="74"/>
        <v/>
      </c>
      <c r="DA35" s="23" t="str">
        <f t="shared" si="74"/>
        <v/>
      </c>
      <c r="DB35" s="23" t="str">
        <f t="shared" si="74"/>
        <v/>
      </c>
      <c r="DC35" s="23" t="str">
        <f t="shared" si="74"/>
        <v/>
      </c>
      <c r="DD35" s="23" t="str">
        <f t="shared" si="74"/>
        <v/>
      </c>
      <c r="DE35" s="23" t="str">
        <f t="shared" si="74"/>
        <v/>
      </c>
      <c r="DF35" s="23" t="str">
        <f t="shared" si="74"/>
        <v/>
      </c>
      <c r="DG35" s="23" t="str">
        <f t="shared" si="74"/>
        <v/>
      </c>
      <c r="DH35" s="23" t="str">
        <f t="shared" si="74"/>
        <v/>
      </c>
      <c r="DI35" s="23" t="str">
        <f t="shared" si="74"/>
        <v/>
      </c>
      <c r="DJ35" s="23" t="str">
        <f t="shared" si="74"/>
        <v/>
      </c>
      <c r="DK35" s="23" t="str">
        <f t="shared" si="74"/>
        <v/>
      </c>
      <c r="DO35" s="61">
        <f t="shared" si="53"/>
        <v>30</v>
      </c>
      <c r="DP35" s="61">
        <f>IF($A35&lt;&gt;"x",$L35*SUMIFS($AF35:$DK35,$AF$4:$DK$4,Jahresscheiben!C$2),0)</f>
        <v>0</v>
      </c>
      <c r="DQ35" s="61">
        <f>IF($A35&lt;&gt;"x",$L35*SUMIFS($AF35:$DK35,$AF$4:$DK$4,Jahresscheiben!D$2),0)</f>
        <v>0</v>
      </c>
      <c r="DR35" s="61">
        <f>IF($A35&lt;&gt;"x",$L35*SUMIFS($AF35:$DK35,$AF$4:$DK$4,Jahresscheiben!E$2),0)</f>
        <v>0</v>
      </c>
      <c r="DS35" s="61">
        <f>IF($A35&lt;&gt;"x",$L35*SUMIFS($AF35:$DK35,$AF$4:$DK$4,Jahresscheiben!F$2),0)</f>
        <v>0</v>
      </c>
      <c r="DT35" s="61">
        <f>IF($A35&lt;&gt;"x",$L35*SUMIFS($AF35:$DK35,$AF$4:$DK$4,Jahresscheiben!G$2),0)</f>
        <v>0</v>
      </c>
      <c r="DU35" s="61">
        <f>IF($A35&lt;&gt;"x",$L35*SUMIFS($AF35:$DK35,$AF$4:$DK$4,Jahresscheiben!H$2),0)</f>
        <v>0</v>
      </c>
      <c r="DV35" s="61">
        <f>IF($A35&lt;&gt;"x",$L35*SUMIFS($AF35:$DK35,$AF$4:$DK$4,Jahresscheiben!I$2),0)</f>
        <v>0</v>
      </c>
      <c r="DW35" s="85"/>
      <c r="DX35" s="61">
        <f t="shared" si="54"/>
        <v>30</v>
      </c>
      <c r="DY35" s="85">
        <f>IF($A35="x",$L35*SUMIFS($AF35:$DK35,$AF$4:$DK$4,Jahresscheiben!C$2)/2,0)</f>
        <v>0</v>
      </c>
      <c r="DZ35" s="85">
        <f>IF($A35="x",$L35*SUMIFS($AF35:$DK35,$AF$4:$DK$4,Jahresscheiben!D$2)/2,0)</f>
        <v>0</v>
      </c>
      <c r="EA35" s="85">
        <f>IF($A35="x",$L35*SUMIFS($AF35:$DK35,$AF$4:$DK$4,Jahresscheiben!E$2)/2,0)</f>
        <v>0</v>
      </c>
      <c r="EB35" s="85">
        <f>IF($A35="x",$L35*SUMIFS($AF35:$DK35,$AF$4:$DK$4,Jahresscheiben!F$2)/2,0)</f>
        <v>0</v>
      </c>
      <c r="EC35" s="85">
        <f>IF($A35="x",$L35*SUMIFS($AF35:$DK35,$AF$4:$DK$4,Jahresscheiben!G$2)/2,0)</f>
        <v>0</v>
      </c>
      <c r="ED35" s="85">
        <f>IF($A35="x",$L35*SUMIFS($AF35:$DK35,$AF$4:$DK$4,Jahresscheiben!H$2)/2,0)</f>
        <v>0</v>
      </c>
      <c r="EE35" s="85">
        <f>IF($A35="x",$L35*SUMIFS($AF35:$DK35,$AF$4:$DK$4,Jahresscheiben!I$2)/2,0)</f>
        <v>0</v>
      </c>
      <c r="EF35" s="85"/>
      <c r="EG35" s="61">
        <f t="shared" si="55"/>
        <v>30</v>
      </c>
      <c r="EH35" s="85" cm="1">
        <f t="array" ref="EH3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35" s="85" cm="1">
        <f t="array" ref="EI3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35" s="85" cm="1">
        <f t="array" ref="EJ3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35" s="85" cm="1">
        <f t="array" ref="EK3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35" s="85" cm="1">
        <f t="array" ref="EL3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35" s="85" cm="1">
        <f t="array" ref="EM3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35" s="85" cm="1">
        <f t="array" ref="EN3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35" s="85"/>
      <c r="EQ35" s="61">
        <f t="shared" si="56"/>
        <v>30</v>
      </c>
      <c r="ER35" s="62">
        <f>IF($A35&lt;&gt;"x",$P35*SUMIFS($AF35:$DK35,$AF$4:$DK$4,Jahresscheiben!C$2),0)</f>
        <v>0</v>
      </c>
      <c r="ES35" s="62">
        <f>IF($A35&lt;&gt;"x",$P35*SUMIFS($AF35:$DK35,$AF$4:$DK$4,Jahresscheiben!D$2),0)</f>
        <v>0</v>
      </c>
      <c r="ET35" s="62">
        <f>IF($A35&lt;&gt;"x",$P35*SUMIFS($AF35:$DK35,$AF$4:$DK$4,Jahresscheiben!E$2),0)</f>
        <v>0</v>
      </c>
      <c r="EU35" s="62">
        <f>IF($A35&lt;&gt;"x",$P35*SUMIFS($AF35:$DK35,$AF$4:$DK$4,Jahresscheiben!F$2),0)</f>
        <v>0</v>
      </c>
      <c r="EV35" s="62">
        <f>IF($A35&lt;&gt;"x",$P35*SUMIFS($AF35:$DK35,$AF$4:$DK$4,Jahresscheiben!G$2),0)</f>
        <v>0</v>
      </c>
      <c r="EW35" s="62">
        <f>IF($A35&lt;&gt;"x",$P35*SUMIFS($AF35:$DK35,$AF$4:$DK$4,Jahresscheiben!H$2),0)</f>
        <v>0</v>
      </c>
      <c r="EX35" s="62">
        <f>IF($A35&lt;&gt;"x",$P35*SUMIFS($AF35:$DK35,$AF$4:$DK$4,Jahresscheiben!I$2),0)</f>
        <v>0</v>
      </c>
      <c r="EY35" s="85"/>
      <c r="EZ35" s="61">
        <f t="shared" si="57"/>
        <v>30</v>
      </c>
      <c r="FA35" s="85">
        <f>IF($A35="x",$P35*SUMIFS($AF35:$DK35,$AF$4:$DK$4,Jahresscheiben!C$2)/2,0)</f>
        <v>0</v>
      </c>
      <c r="FB35" s="85">
        <f>IF($A35="x",$P35*SUMIFS($AF35:$DK35,$AF$4:$DK$4,Jahresscheiben!D$2)/2,0)</f>
        <v>0</v>
      </c>
      <c r="FC35" s="85">
        <f>IF($A35="x",$P35*SUMIFS($AF35:$DK35,$AF$4:$DK$4,Jahresscheiben!E$2)/2,0)</f>
        <v>0</v>
      </c>
      <c r="FD35" s="85">
        <f>IF($A35="x",$P35*SUMIFS($AF35:$DK35,$AF$4:$DK$4,Jahresscheiben!F$2)/2,0)</f>
        <v>0</v>
      </c>
      <c r="FE35" s="85">
        <f>IF($A35="x",$P35*SUMIFS($AF35:$DK35,$AF$4:$DK$4,Jahresscheiben!G$2)/2,0)</f>
        <v>0</v>
      </c>
      <c r="FF35" s="85">
        <f>IF($A35="x",$P35*SUMIFS($AF35:$DK35,$AF$4:$DK$4,Jahresscheiben!H$2)/2,0)</f>
        <v>0</v>
      </c>
      <c r="FG35" s="85">
        <f>IF($A35="x",$P35*SUMIFS($AF35:$DK35,$AF$4:$DK$4,Jahresscheiben!I$2)/2,0)</f>
        <v>0</v>
      </c>
      <c r="FH35" s="85"/>
      <c r="FI35" s="61">
        <f t="shared" si="58"/>
        <v>30</v>
      </c>
      <c r="FJ35" s="85" cm="1">
        <f t="array" ref="FJ3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35" s="85" cm="1">
        <f t="array" ref="FK3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35" s="85" cm="1">
        <f t="array" ref="FL3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35" s="85" cm="1">
        <f t="array" ref="FM3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35" s="85" cm="1">
        <f t="array" ref="FN3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35" s="85" cm="1">
        <f t="array" ref="FO3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35" s="85" cm="1">
        <f t="array" ref="FP3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36" spans="1:172" ht="17" hidden="1" customHeight="1" thickBot="1" x14ac:dyDescent="0.55000000000000004">
      <c r="A36" s="29" t="s">
        <v>24</v>
      </c>
      <c r="B36" s="31">
        <f t="shared" si="50"/>
        <v>0</v>
      </c>
      <c r="C36" s="22">
        <f t="shared" si="51"/>
        <v>31</v>
      </c>
      <c r="D36" s="71"/>
      <c r="E36" s="7"/>
      <c r="F36" s="7"/>
      <c r="G36" s="7"/>
      <c r="H36" s="7"/>
      <c r="I36" s="6" t="str">
        <f t="shared" si="40"/>
        <v/>
      </c>
      <c r="J36" s="6" t="str">
        <f t="shared" si="41"/>
        <v/>
      </c>
      <c r="K36" s="7"/>
      <c r="L36" s="53">
        <v>1</v>
      </c>
      <c r="M36" s="60" cm="1">
        <f t="array" ref="M36" xml:space="preserve">
_xlfn.LET(
_xlpm.Z, _xlfn._xlws.FILTER($DY$6:$EE$65,$DX$6:$DX$65=C36),
_xlpm.Q,_xlfn._xlws.FILTER($DP$6:$DV$65,$DO$6:$DO$65=C36),
IF($A36="x",SUMPRODUCT(_xlpm.Z,$DY$73:$EE$73,EH36:EN36),SUMPRODUCT(_xlpm.Q,$DP$73:$DV$73)))</f>
        <v>0</v>
      </c>
      <c r="N36" s="54" t="str" cm="1">
        <f t="array" ref="N36" xml:space="preserve">
_xlfn.LET(
_xlpm.Z, SUM(IF($A36="x",_xlfn._xlws.FILTER($M$6:$M$65,$A$6:$A$65="x"),_xlfn._xlws.FILTER($M$6:$M$65,$A$6:$A$65&lt;&gt;"x"))),
IF(_xlpm.Z&lt;&gt;0,M36/_xlpm.Z,""))</f>
        <v/>
      </c>
      <c r="O36" s="7"/>
      <c r="P36" s="53">
        <f t="shared" si="52"/>
        <v>1</v>
      </c>
      <c r="Q36" s="60" cm="1">
        <f t="array" ref="Q36" xml:space="preserve">
_xlfn.LET(
_xlpm.Z, _xlfn._xlws.FILTER($FA$6:$FG$65,$EZ$6:$EZ$65=C36),
_xlpm.Q,_xlfn._xlws.FILTER($ER$6:$EX$65,$EQ$6:$EQ$65=C36),
IF($A36="x",SUMPRODUCT(_xlpm.Z,$FA$73:$FG$73,FJ36:FP36),SUMPRODUCT(_xlpm.Q,$ER$73:$EX$73)))</f>
        <v>0</v>
      </c>
      <c r="R36" s="54" t="str" cm="1">
        <f t="array" ref="R36" xml:space="preserve">
_xlfn.LET(
_xlpm.Z, SUM(IF($A36="x",_xlfn._xlws.FILTER($Q$6:$Q$65,$A$6:$A$65="x"),_xlfn._xlws.FILTER($Q$6:$Q$65,$A$6:$A$65&lt;&gt;"x"))),
IF(_xlpm.Z&lt;&gt;0,Q36/_xlpm.Z,""))</f>
        <v/>
      </c>
      <c r="S36" s="7"/>
      <c r="T36" s="6"/>
      <c r="U36" s="6"/>
      <c r="V36" s="6"/>
      <c r="W36" s="6"/>
      <c r="X36" s="6"/>
      <c r="Y36" s="6"/>
      <c r="Z36" s="6"/>
      <c r="AA36" s="6"/>
      <c r="AB36" s="6"/>
      <c r="AC36" s="6"/>
      <c r="AD36" s="7"/>
      <c r="AE36" s="7"/>
      <c r="AF36" s="23" t="str">
        <f t="shared" si="67"/>
        <v/>
      </c>
      <c r="AG36" s="23" t="str">
        <f t="shared" si="67"/>
        <v/>
      </c>
      <c r="AH36" s="23" t="str">
        <f t="shared" si="67"/>
        <v/>
      </c>
      <c r="AI36" s="23" t="str">
        <f t="shared" si="67"/>
        <v/>
      </c>
      <c r="AJ36" s="23" t="str">
        <f t="shared" si="67"/>
        <v/>
      </c>
      <c r="AK36" s="23" t="str">
        <f t="shared" si="67"/>
        <v/>
      </c>
      <c r="AL36" s="23" t="str">
        <f t="shared" si="67"/>
        <v/>
      </c>
      <c r="AM36" s="23" t="str">
        <f t="shared" si="67"/>
        <v/>
      </c>
      <c r="AN36" s="23" t="str">
        <f t="shared" si="67"/>
        <v/>
      </c>
      <c r="AO36" s="23" t="str">
        <f t="shared" si="67"/>
        <v/>
      </c>
      <c r="AP36" s="23" t="str">
        <f t="shared" si="68"/>
        <v/>
      </c>
      <c r="AQ36" s="23" t="str">
        <f t="shared" si="68"/>
        <v/>
      </c>
      <c r="AR36" s="23" t="str">
        <f t="shared" si="68"/>
        <v/>
      </c>
      <c r="AS36" s="23" t="str">
        <f t="shared" si="68"/>
        <v/>
      </c>
      <c r="AT36" s="23" t="str">
        <f t="shared" si="68"/>
        <v/>
      </c>
      <c r="AU36" s="23" t="str">
        <f t="shared" si="68"/>
        <v/>
      </c>
      <c r="AV36" s="23" t="str">
        <f t="shared" si="68"/>
        <v/>
      </c>
      <c r="AW36" s="23" t="str">
        <f t="shared" si="68"/>
        <v/>
      </c>
      <c r="AX36" s="23" t="str">
        <f t="shared" si="68"/>
        <v/>
      </c>
      <c r="AY36" s="23" t="str">
        <f t="shared" si="68"/>
        <v/>
      </c>
      <c r="AZ36" s="23" t="str">
        <f t="shared" si="69"/>
        <v/>
      </c>
      <c r="BA36" s="23" t="str">
        <f t="shared" si="69"/>
        <v/>
      </c>
      <c r="BB36" s="23" t="str">
        <f t="shared" si="69"/>
        <v/>
      </c>
      <c r="BC36" s="23" t="str">
        <f t="shared" si="69"/>
        <v/>
      </c>
      <c r="BD36" s="23" t="str">
        <f t="shared" si="69"/>
        <v/>
      </c>
      <c r="BE36" s="23" t="str">
        <f t="shared" si="69"/>
        <v/>
      </c>
      <c r="BF36" s="23" t="str">
        <f t="shared" si="69"/>
        <v/>
      </c>
      <c r="BG36" s="23" t="str">
        <f t="shared" si="69"/>
        <v/>
      </c>
      <c r="BH36" s="23" t="str">
        <f t="shared" si="69"/>
        <v/>
      </c>
      <c r="BI36" s="23" t="str">
        <f t="shared" si="69"/>
        <v/>
      </c>
      <c r="BJ36" s="23" t="str">
        <f t="shared" si="70"/>
        <v/>
      </c>
      <c r="BK36" s="23" t="str">
        <f t="shared" si="70"/>
        <v/>
      </c>
      <c r="BL36" s="23" t="str">
        <f t="shared" si="70"/>
        <v/>
      </c>
      <c r="BM36" s="23" t="str">
        <f t="shared" si="70"/>
        <v/>
      </c>
      <c r="BN36" s="23" t="str">
        <f t="shared" si="70"/>
        <v/>
      </c>
      <c r="BO36" s="23" t="str">
        <f t="shared" si="70"/>
        <v/>
      </c>
      <c r="BP36" s="23" t="str">
        <f t="shared" si="70"/>
        <v/>
      </c>
      <c r="BQ36" s="23" t="str">
        <f t="shared" si="70"/>
        <v/>
      </c>
      <c r="BR36" s="23" t="str">
        <f t="shared" si="70"/>
        <v/>
      </c>
      <c r="BS36" s="23" t="str">
        <f t="shared" si="70"/>
        <v/>
      </c>
      <c r="BT36" s="23" t="str">
        <f t="shared" si="71"/>
        <v/>
      </c>
      <c r="BU36" s="23" t="str">
        <f t="shared" si="71"/>
        <v/>
      </c>
      <c r="BV36" s="23" t="str">
        <f t="shared" si="71"/>
        <v/>
      </c>
      <c r="BW36" s="23" t="str">
        <f t="shared" si="71"/>
        <v/>
      </c>
      <c r="BX36" s="23" t="str">
        <f t="shared" si="71"/>
        <v/>
      </c>
      <c r="BY36" s="23" t="str">
        <f t="shared" si="71"/>
        <v/>
      </c>
      <c r="BZ36" s="23" t="str">
        <f t="shared" si="71"/>
        <v/>
      </c>
      <c r="CA36" s="23" t="str">
        <f t="shared" si="71"/>
        <v/>
      </c>
      <c r="CB36" s="23" t="str">
        <f t="shared" si="71"/>
        <v/>
      </c>
      <c r="CC36" s="23" t="str">
        <f t="shared" si="71"/>
        <v/>
      </c>
      <c r="CD36" s="23" t="str">
        <f t="shared" si="72"/>
        <v/>
      </c>
      <c r="CE36" s="23" t="str">
        <f t="shared" si="72"/>
        <v/>
      </c>
      <c r="CF36" s="23" t="str">
        <f t="shared" si="72"/>
        <v/>
      </c>
      <c r="CG36" s="23" t="str">
        <f t="shared" si="72"/>
        <v/>
      </c>
      <c r="CH36" s="23" t="str">
        <f t="shared" si="72"/>
        <v/>
      </c>
      <c r="CI36" s="23" t="str">
        <f t="shared" si="72"/>
        <v/>
      </c>
      <c r="CJ36" s="23" t="str">
        <f t="shared" si="72"/>
        <v/>
      </c>
      <c r="CK36" s="23" t="str">
        <f t="shared" si="72"/>
        <v/>
      </c>
      <c r="CL36" s="23" t="str">
        <f t="shared" si="72"/>
        <v/>
      </c>
      <c r="CM36" s="23" t="str">
        <f t="shared" si="72"/>
        <v/>
      </c>
      <c r="CN36" s="23" t="str">
        <f t="shared" si="73"/>
        <v/>
      </c>
      <c r="CO36" s="23" t="str">
        <f t="shared" si="73"/>
        <v/>
      </c>
      <c r="CP36" s="23" t="str">
        <f t="shared" si="73"/>
        <v/>
      </c>
      <c r="CQ36" s="23" t="str">
        <f t="shared" si="73"/>
        <v/>
      </c>
      <c r="CR36" s="23" t="str">
        <f t="shared" si="73"/>
        <v/>
      </c>
      <c r="CS36" s="23" t="str">
        <f t="shared" si="73"/>
        <v/>
      </c>
      <c r="CT36" s="23" t="str">
        <f t="shared" si="73"/>
        <v/>
      </c>
      <c r="CU36" s="23" t="str">
        <f t="shared" si="73"/>
        <v/>
      </c>
      <c r="CV36" s="23" t="str">
        <f t="shared" si="73"/>
        <v/>
      </c>
      <c r="CW36" s="23" t="str">
        <f t="shared" si="73"/>
        <v/>
      </c>
      <c r="CX36" s="23" t="str">
        <f t="shared" si="74"/>
        <v/>
      </c>
      <c r="CY36" s="23" t="str">
        <f t="shared" si="74"/>
        <v/>
      </c>
      <c r="CZ36" s="23" t="str">
        <f t="shared" si="74"/>
        <v/>
      </c>
      <c r="DA36" s="23" t="str">
        <f t="shared" si="74"/>
        <v/>
      </c>
      <c r="DB36" s="23" t="str">
        <f t="shared" si="74"/>
        <v/>
      </c>
      <c r="DC36" s="23" t="str">
        <f t="shared" si="74"/>
        <v/>
      </c>
      <c r="DD36" s="23" t="str">
        <f t="shared" si="74"/>
        <v/>
      </c>
      <c r="DE36" s="23" t="str">
        <f t="shared" si="74"/>
        <v/>
      </c>
      <c r="DF36" s="23" t="str">
        <f t="shared" si="74"/>
        <v/>
      </c>
      <c r="DG36" s="23" t="str">
        <f t="shared" si="74"/>
        <v/>
      </c>
      <c r="DH36" s="23" t="str">
        <f t="shared" si="74"/>
        <v/>
      </c>
      <c r="DI36" s="23" t="str">
        <f t="shared" si="74"/>
        <v/>
      </c>
      <c r="DJ36" s="23" t="str">
        <f t="shared" si="74"/>
        <v/>
      </c>
      <c r="DK36" s="23" t="str">
        <f t="shared" si="74"/>
        <v/>
      </c>
      <c r="DO36" s="61">
        <f t="shared" si="53"/>
        <v>31</v>
      </c>
      <c r="DP36" s="61">
        <f>IF($A36&lt;&gt;"x",$L36*SUMIFS($AF36:$DK36,$AF$4:$DK$4,Jahresscheiben!C$2),0)</f>
        <v>0</v>
      </c>
      <c r="DQ36" s="61">
        <f>IF($A36&lt;&gt;"x",$L36*SUMIFS($AF36:$DK36,$AF$4:$DK$4,Jahresscheiben!D$2),0)</f>
        <v>0</v>
      </c>
      <c r="DR36" s="61">
        <f>IF($A36&lt;&gt;"x",$L36*SUMIFS($AF36:$DK36,$AF$4:$DK$4,Jahresscheiben!E$2),0)</f>
        <v>0</v>
      </c>
      <c r="DS36" s="61">
        <f>IF($A36&lt;&gt;"x",$L36*SUMIFS($AF36:$DK36,$AF$4:$DK$4,Jahresscheiben!F$2),0)</f>
        <v>0</v>
      </c>
      <c r="DT36" s="61">
        <f>IF($A36&lt;&gt;"x",$L36*SUMIFS($AF36:$DK36,$AF$4:$DK$4,Jahresscheiben!G$2),0)</f>
        <v>0</v>
      </c>
      <c r="DU36" s="61">
        <f>IF($A36&lt;&gt;"x",$L36*SUMIFS($AF36:$DK36,$AF$4:$DK$4,Jahresscheiben!H$2),0)</f>
        <v>0</v>
      </c>
      <c r="DV36" s="61">
        <f>IF($A36&lt;&gt;"x",$L36*SUMIFS($AF36:$DK36,$AF$4:$DK$4,Jahresscheiben!I$2),0)</f>
        <v>0</v>
      </c>
      <c r="DW36" s="85"/>
      <c r="DX36" s="61">
        <f t="shared" si="54"/>
        <v>31</v>
      </c>
      <c r="DY36" s="85">
        <f>IF($A36="x",$L36*SUMIFS($AF36:$DK36,$AF$4:$DK$4,Jahresscheiben!C$2)/2,0)</f>
        <v>0</v>
      </c>
      <c r="DZ36" s="85">
        <f>IF($A36="x",$L36*SUMIFS($AF36:$DK36,$AF$4:$DK$4,Jahresscheiben!D$2)/2,0)</f>
        <v>0</v>
      </c>
      <c r="EA36" s="85">
        <f>IF($A36="x",$L36*SUMIFS($AF36:$DK36,$AF$4:$DK$4,Jahresscheiben!E$2)/2,0)</f>
        <v>0</v>
      </c>
      <c r="EB36" s="85">
        <f>IF($A36="x",$L36*SUMIFS($AF36:$DK36,$AF$4:$DK$4,Jahresscheiben!F$2)/2,0)</f>
        <v>0</v>
      </c>
      <c r="EC36" s="85">
        <f>IF($A36="x",$L36*SUMIFS($AF36:$DK36,$AF$4:$DK$4,Jahresscheiben!G$2)/2,0)</f>
        <v>0</v>
      </c>
      <c r="ED36" s="85">
        <f>IF($A36="x",$L36*SUMIFS($AF36:$DK36,$AF$4:$DK$4,Jahresscheiben!H$2)/2,0)</f>
        <v>0</v>
      </c>
      <c r="EE36" s="85">
        <f>IF($A36="x",$L36*SUMIFS($AF36:$DK36,$AF$4:$DK$4,Jahresscheiben!I$2)/2,0)</f>
        <v>0</v>
      </c>
      <c r="EF36" s="85"/>
      <c r="EG36" s="61">
        <f t="shared" si="55"/>
        <v>31</v>
      </c>
      <c r="EH36" s="85" cm="1">
        <f t="array" ref="EH3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36" s="85" cm="1">
        <f t="array" ref="EI3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36" s="85" cm="1">
        <f t="array" ref="EJ3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36" s="85" cm="1">
        <f t="array" ref="EK3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36" s="85" cm="1">
        <f t="array" ref="EL3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36" s="85" cm="1">
        <f t="array" ref="EM3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36" s="85" cm="1">
        <f t="array" ref="EN3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36" s="85"/>
      <c r="EQ36" s="61">
        <f t="shared" si="56"/>
        <v>31</v>
      </c>
      <c r="ER36" s="62">
        <f>IF($A36&lt;&gt;"x",$P36*SUMIFS($AF36:$DK36,$AF$4:$DK$4,Jahresscheiben!C$2),0)</f>
        <v>0</v>
      </c>
      <c r="ES36" s="62">
        <f>IF($A36&lt;&gt;"x",$P36*SUMIFS($AF36:$DK36,$AF$4:$DK$4,Jahresscheiben!D$2),0)</f>
        <v>0</v>
      </c>
      <c r="ET36" s="62">
        <f>IF($A36&lt;&gt;"x",$P36*SUMIFS($AF36:$DK36,$AF$4:$DK$4,Jahresscheiben!E$2),0)</f>
        <v>0</v>
      </c>
      <c r="EU36" s="62">
        <f>IF($A36&lt;&gt;"x",$P36*SUMIFS($AF36:$DK36,$AF$4:$DK$4,Jahresscheiben!F$2),0)</f>
        <v>0</v>
      </c>
      <c r="EV36" s="62">
        <f>IF($A36&lt;&gt;"x",$P36*SUMIFS($AF36:$DK36,$AF$4:$DK$4,Jahresscheiben!G$2),0)</f>
        <v>0</v>
      </c>
      <c r="EW36" s="62">
        <f>IF($A36&lt;&gt;"x",$P36*SUMIFS($AF36:$DK36,$AF$4:$DK$4,Jahresscheiben!H$2),0)</f>
        <v>0</v>
      </c>
      <c r="EX36" s="62">
        <f>IF($A36&lt;&gt;"x",$P36*SUMIFS($AF36:$DK36,$AF$4:$DK$4,Jahresscheiben!I$2),0)</f>
        <v>0</v>
      </c>
      <c r="EY36" s="85"/>
      <c r="EZ36" s="61">
        <f t="shared" si="57"/>
        <v>31</v>
      </c>
      <c r="FA36" s="85">
        <f>IF($A36="x",$P36*SUMIFS($AF36:$DK36,$AF$4:$DK$4,Jahresscheiben!C$2)/2,0)</f>
        <v>0</v>
      </c>
      <c r="FB36" s="85">
        <f>IF($A36="x",$P36*SUMIFS($AF36:$DK36,$AF$4:$DK$4,Jahresscheiben!D$2)/2,0)</f>
        <v>0</v>
      </c>
      <c r="FC36" s="85">
        <f>IF($A36="x",$P36*SUMIFS($AF36:$DK36,$AF$4:$DK$4,Jahresscheiben!E$2)/2,0)</f>
        <v>0</v>
      </c>
      <c r="FD36" s="85">
        <f>IF($A36="x",$P36*SUMIFS($AF36:$DK36,$AF$4:$DK$4,Jahresscheiben!F$2)/2,0)</f>
        <v>0</v>
      </c>
      <c r="FE36" s="85">
        <f>IF($A36="x",$P36*SUMIFS($AF36:$DK36,$AF$4:$DK$4,Jahresscheiben!G$2)/2,0)</f>
        <v>0</v>
      </c>
      <c r="FF36" s="85">
        <f>IF($A36="x",$P36*SUMIFS($AF36:$DK36,$AF$4:$DK$4,Jahresscheiben!H$2)/2,0)</f>
        <v>0</v>
      </c>
      <c r="FG36" s="85">
        <f>IF($A36="x",$P36*SUMIFS($AF36:$DK36,$AF$4:$DK$4,Jahresscheiben!I$2)/2,0)</f>
        <v>0</v>
      </c>
      <c r="FH36" s="85"/>
      <c r="FI36" s="61">
        <f t="shared" si="58"/>
        <v>31</v>
      </c>
      <c r="FJ36" s="85" cm="1">
        <f t="array" ref="FJ3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36" s="85" cm="1">
        <f t="array" ref="FK3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36" s="85" cm="1">
        <f t="array" ref="FL3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36" s="85" cm="1">
        <f t="array" ref="FM3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36" s="85" cm="1">
        <f t="array" ref="FN3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36" s="85" cm="1">
        <f t="array" ref="FO3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36" s="85" cm="1">
        <f t="array" ref="FP3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37" spans="1:172" ht="17" hidden="1" customHeight="1" thickBot="1" x14ac:dyDescent="0.55000000000000004">
      <c r="A37" s="30" t="s">
        <v>24</v>
      </c>
      <c r="B37" s="31">
        <f t="shared" si="50"/>
        <v>0</v>
      </c>
      <c r="C37" s="22">
        <f t="shared" si="51"/>
        <v>32</v>
      </c>
      <c r="D37" s="71"/>
      <c r="E37" s="26"/>
      <c r="F37" s="26"/>
      <c r="G37" s="26"/>
      <c r="H37" s="26"/>
      <c r="I37" s="6" t="str">
        <f t="shared" si="40"/>
        <v/>
      </c>
      <c r="J37" s="6" t="str">
        <f t="shared" si="41"/>
        <v/>
      </c>
      <c r="K37" s="26"/>
      <c r="L37" s="53">
        <v>1</v>
      </c>
      <c r="M37" s="60" cm="1">
        <f t="array" ref="M37" xml:space="preserve">
_xlfn.LET(
_xlpm.Z, _xlfn._xlws.FILTER($DY$6:$EE$65,$DX$6:$DX$65=C37),
_xlpm.Q,_xlfn._xlws.FILTER($DP$6:$DV$65,$DO$6:$DO$65=C37),
IF($A37="x",SUMPRODUCT(_xlpm.Z,$DY$73:$EE$73,EH37:EN37),SUMPRODUCT(_xlpm.Q,$DP$73:$DV$73)))</f>
        <v>0</v>
      </c>
      <c r="N37" s="54" t="str" cm="1">
        <f t="array" ref="N37" xml:space="preserve">
_xlfn.LET(
_xlpm.Z, SUM(IF($A37="x",_xlfn._xlws.FILTER($M$6:$M$65,$A$6:$A$65="x"),_xlfn._xlws.FILTER($M$6:$M$65,$A$6:$A$65&lt;&gt;"x"))),
IF(_xlpm.Z&lt;&gt;0,M37/_xlpm.Z,""))</f>
        <v/>
      </c>
      <c r="O37" s="26"/>
      <c r="P37" s="53">
        <f t="shared" si="52"/>
        <v>1</v>
      </c>
      <c r="Q37" s="60" cm="1">
        <f t="array" ref="Q37" xml:space="preserve">
_xlfn.LET(
_xlpm.Z, _xlfn._xlws.FILTER($FA$6:$FG$65,$EZ$6:$EZ$65=C37),
_xlpm.Q,_xlfn._xlws.FILTER($ER$6:$EX$65,$EQ$6:$EQ$65=C37),
IF($A37="x",SUMPRODUCT(_xlpm.Z,$FA$73:$FG$73,FJ37:FP37),SUMPRODUCT(_xlpm.Q,$ER$73:$EX$73)))</f>
        <v>0</v>
      </c>
      <c r="R37" s="54" t="str" cm="1">
        <f t="array" ref="R37" xml:space="preserve">
_xlfn.LET(
_xlpm.Z, SUM(IF($A37="x",_xlfn._xlws.FILTER($Q$6:$Q$65,$A$6:$A$65="x"),_xlfn._xlws.FILTER($Q$6:$Q$65,$A$6:$A$65&lt;&gt;"x"))),
IF(_xlpm.Z&lt;&gt;0,Q37/_xlpm.Z,""))</f>
        <v/>
      </c>
      <c r="S37" s="26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8"/>
      <c r="AE37" s="28"/>
      <c r="AF37" s="23" t="str">
        <f t="shared" si="67"/>
        <v/>
      </c>
      <c r="AG37" s="23" t="str">
        <f t="shared" si="67"/>
        <v/>
      </c>
      <c r="AH37" s="23" t="str">
        <f t="shared" si="67"/>
        <v/>
      </c>
      <c r="AI37" s="23" t="str">
        <f t="shared" si="67"/>
        <v/>
      </c>
      <c r="AJ37" s="23" t="str">
        <f t="shared" si="67"/>
        <v/>
      </c>
      <c r="AK37" s="23" t="str">
        <f t="shared" si="67"/>
        <v/>
      </c>
      <c r="AL37" s="23" t="str">
        <f t="shared" si="67"/>
        <v/>
      </c>
      <c r="AM37" s="23" t="str">
        <f t="shared" si="67"/>
        <v/>
      </c>
      <c r="AN37" s="23" t="str">
        <f t="shared" si="67"/>
        <v/>
      </c>
      <c r="AO37" s="23" t="str">
        <f t="shared" si="67"/>
        <v/>
      </c>
      <c r="AP37" s="23" t="str">
        <f t="shared" si="68"/>
        <v/>
      </c>
      <c r="AQ37" s="23" t="str">
        <f t="shared" si="68"/>
        <v/>
      </c>
      <c r="AR37" s="23" t="str">
        <f t="shared" si="68"/>
        <v/>
      </c>
      <c r="AS37" s="23" t="str">
        <f t="shared" si="68"/>
        <v/>
      </c>
      <c r="AT37" s="23" t="str">
        <f t="shared" si="68"/>
        <v/>
      </c>
      <c r="AU37" s="23" t="str">
        <f t="shared" si="68"/>
        <v/>
      </c>
      <c r="AV37" s="23" t="str">
        <f t="shared" si="68"/>
        <v/>
      </c>
      <c r="AW37" s="23" t="str">
        <f t="shared" si="68"/>
        <v/>
      </c>
      <c r="AX37" s="23" t="str">
        <f t="shared" si="68"/>
        <v/>
      </c>
      <c r="AY37" s="23" t="str">
        <f t="shared" si="68"/>
        <v/>
      </c>
      <c r="AZ37" s="23" t="str">
        <f t="shared" si="69"/>
        <v/>
      </c>
      <c r="BA37" s="23" t="str">
        <f t="shared" si="69"/>
        <v/>
      </c>
      <c r="BB37" s="23" t="str">
        <f t="shared" si="69"/>
        <v/>
      </c>
      <c r="BC37" s="23" t="str">
        <f t="shared" si="69"/>
        <v/>
      </c>
      <c r="BD37" s="23" t="str">
        <f t="shared" si="69"/>
        <v/>
      </c>
      <c r="BE37" s="23" t="str">
        <f t="shared" si="69"/>
        <v/>
      </c>
      <c r="BF37" s="23" t="str">
        <f t="shared" si="69"/>
        <v/>
      </c>
      <c r="BG37" s="23" t="str">
        <f t="shared" si="69"/>
        <v/>
      </c>
      <c r="BH37" s="23" t="str">
        <f t="shared" si="69"/>
        <v/>
      </c>
      <c r="BI37" s="23" t="str">
        <f t="shared" si="69"/>
        <v/>
      </c>
      <c r="BJ37" s="23" t="str">
        <f t="shared" si="70"/>
        <v/>
      </c>
      <c r="BK37" s="23" t="str">
        <f t="shared" si="70"/>
        <v/>
      </c>
      <c r="BL37" s="23" t="str">
        <f t="shared" si="70"/>
        <v/>
      </c>
      <c r="BM37" s="23" t="str">
        <f t="shared" si="70"/>
        <v/>
      </c>
      <c r="BN37" s="23" t="str">
        <f t="shared" si="70"/>
        <v/>
      </c>
      <c r="BO37" s="23" t="str">
        <f t="shared" si="70"/>
        <v/>
      </c>
      <c r="BP37" s="23" t="str">
        <f t="shared" si="70"/>
        <v/>
      </c>
      <c r="BQ37" s="23" t="str">
        <f t="shared" si="70"/>
        <v/>
      </c>
      <c r="BR37" s="23" t="str">
        <f t="shared" si="70"/>
        <v/>
      </c>
      <c r="BS37" s="23" t="str">
        <f t="shared" si="70"/>
        <v/>
      </c>
      <c r="BT37" s="23" t="str">
        <f t="shared" si="71"/>
        <v/>
      </c>
      <c r="BU37" s="23" t="str">
        <f t="shared" si="71"/>
        <v/>
      </c>
      <c r="BV37" s="23" t="str">
        <f t="shared" si="71"/>
        <v/>
      </c>
      <c r="BW37" s="23" t="str">
        <f t="shared" si="71"/>
        <v/>
      </c>
      <c r="BX37" s="23" t="str">
        <f t="shared" si="71"/>
        <v/>
      </c>
      <c r="BY37" s="23" t="str">
        <f t="shared" si="71"/>
        <v/>
      </c>
      <c r="BZ37" s="23" t="str">
        <f t="shared" si="71"/>
        <v/>
      </c>
      <c r="CA37" s="23" t="str">
        <f t="shared" si="71"/>
        <v/>
      </c>
      <c r="CB37" s="23" t="str">
        <f t="shared" si="71"/>
        <v/>
      </c>
      <c r="CC37" s="23" t="str">
        <f t="shared" si="71"/>
        <v/>
      </c>
      <c r="CD37" s="23" t="str">
        <f t="shared" si="72"/>
        <v/>
      </c>
      <c r="CE37" s="23" t="str">
        <f t="shared" si="72"/>
        <v/>
      </c>
      <c r="CF37" s="23" t="str">
        <f t="shared" si="72"/>
        <v/>
      </c>
      <c r="CG37" s="23" t="str">
        <f t="shared" si="72"/>
        <v/>
      </c>
      <c r="CH37" s="23" t="str">
        <f t="shared" si="72"/>
        <v/>
      </c>
      <c r="CI37" s="23" t="str">
        <f t="shared" si="72"/>
        <v/>
      </c>
      <c r="CJ37" s="23" t="str">
        <f t="shared" si="72"/>
        <v/>
      </c>
      <c r="CK37" s="23" t="str">
        <f t="shared" si="72"/>
        <v/>
      </c>
      <c r="CL37" s="23" t="str">
        <f t="shared" si="72"/>
        <v/>
      </c>
      <c r="CM37" s="23" t="str">
        <f t="shared" si="72"/>
        <v/>
      </c>
      <c r="CN37" s="23" t="str">
        <f t="shared" si="73"/>
        <v/>
      </c>
      <c r="CO37" s="23" t="str">
        <f t="shared" si="73"/>
        <v/>
      </c>
      <c r="CP37" s="23" t="str">
        <f t="shared" si="73"/>
        <v/>
      </c>
      <c r="CQ37" s="23" t="str">
        <f t="shared" si="73"/>
        <v/>
      </c>
      <c r="CR37" s="23" t="str">
        <f t="shared" si="73"/>
        <v/>
      </c>
      <c r="CS37" s="23" t="str">
        <f t="shared" si="73"/>
        <v/>
      </c>
      <c r="CT37" s="23" t="str">
        <f t="shared" si="73"/>
        <v/>
      </c>
      <c r="CU37" s="23" t="str">
        <f t="shared" si="73"/>
        <v/>
      </c>
      <c r="CV37" s="23" t="str">
        <f t="shared" si="73"/>
        <v/>
      </c>
      <c r="CW37" s="23" t="str">
        <f t="shared" si="73"/>
        <v/>
      </c>
      <c r="CX37" s="23" t="str">
        <f t="shared" si="74"/>
        <v/>
      </c>
      <c r="CY37" s="23" t="str">
        <f t="shared" si="74"/>
        <v/>
      </c>
      <c r="CZ37" s="23" t="str">
        <f t="shared" si="74"/>
        <v/>
      </c>
      <c r="DA37" s="23" t="str">
        <f t="shared" ref="DA37:DK40" si="89">_xlfn.LET(
_xlpm.project_monat,DA$3,
_xlpm.start_monat,$F37,
_xlpm.ende_monat,$G37,
IF(AND(_xlpm.project_monat&gt;=_xlpm.start_monat,_xlpm.project_monat&lt;=_xlpm.ende_monat),IF($A37="x",2,1),""))</f>
        <v/>
      </c>
      <c r="DB37" s="23" t="str">
        <f t="shared" si="89"/>
        <v/>
      </c>
      <c r="DC37" s="23" t="str">
        <f t="shared" si="89"/>
        <v/>
      </c>
      <c r="DD37" s="23" t="str">
        <f t="shared" si="89"/>
        <v/>
      </c>
      <c r="DE37" s="23" t="str">
        <f t="shared" si="89"/>
        <v/>
      </c>
      <c r="DF37" s="23" t="str">
        <f t="shared" si="89"/>
        <v/>
      </c>
      <c r="DG37" s="23" t="str">
        <f t="shared" si="89"/>
        <v/>
      </c>
      <c r="DH37" s="23" t="str">
        <f t="shared" si="89"/>
        <v/>
      </c>
      <c r="DI37" s="23" t="str">
        <f t="shared" si="89"/>
        <v/>
      </c>
      <c r="DJ37" s="23" t="str">
        <f t="shared" si="89"/>
        <v/>
      </c>
      <c r="DK37" s="23" t="str">
        <f t="shared" si="89"/>
        <v/>
      </c>
      <c r="DO37" s="61">
        <f t="shared" si="53"/>
        <v>32</v>
      </c>
      <c r="DP37" s="61">
        <f>IF($A37&lt;&gt;"x",$L37*SUMIFS($AF37:$DK37,$AF$4:$DK$4,Jahresscheiben!C$2),0)</f>
        <v>0</v>
      </c>
      <c r="DQ37" s="61">
        <f>IF($A37&lt;&gt;"x",$L37*SUMIFS($AF37:$DK37,$AF$4:$DK$4,Jahresscheiben!D$2),0)</f>
        <v>0</v>
      </c>
      <c r="DR37" s="61">
        <f>IF($A37&lt;&gt;"x",$L37*SUMIFS($AF37:$DK37,$AF$4:$DK$4,Jahresscheiben!E$2),0)</f>
        <v>0</v>
      </c>
      <c r="DS37" s="61">
        <f>IF($A37&lt;&gt;"x",$L37*SUMIFS($AF37:$DK37,$AF$4:$DK$4,Jahresscheiben!F$2),0)</f>
        <v>0</v>
      </c>
      <c r="DT37" s="61">
        <f>IF($A37&lt;&gt;"x",$L37*SUMIFS($AF37:$DK37,$AF$4:$DK$4,Jahresscheiben!G$2),0)</f>
        <v>0</v>
      </c>
      <c r="DU37" s="61">
        <f>IF($A37&lt;&gt;"x",$L37*SUMIFS($AF37:$DK37,$AF$4:$DK$4,Jahresscheiben!H$2),0)</f>
        <v>0</v>
      </c>
      <c r="DV37" s="61">
        <f>IF($A37&lt;&gt;"x",$L37*SUMIFS($AF37:$DK37,$AF$4:$DK$4,Jahresscheiben!I$2),0)</f>
        <v>0</v>
      </c>
      <c r="DW37" s="85"/>
      <c r="DX37" s="61">
        <f t="shared" si="54"/>
        <v>32</v>
      </c>
      <c r="DY37" s="85">
        <f>IF($A37="x",$L37*SUMIFS($AF37:$DK37,$AF$4:$DK$4,Jahresscheiben!C$2)/2,0)</f>
        <v>0</v>
      </c>
      <c r="DZ37" s="85">
        <f>IF($A37="x",$L37*SUMIFS($AF37:$DK37,$AF$4:$DK$4,Jahresscheiben!D$2)/2,0)</f>
        <v>0</v>
      </c>
      <c r="EA37" s="85">
        <f>IF($A37="x",$L37*SUMIFS($AF37:$DK37,$AF$4:$DK$4,Jahresscheiben!E$2)/2,0)</f>
        <v>0</v>
      </c>
      <c r="EB37" s="85">
        <f>IF($A37="x",$L37*SUMIFS($AF37:$DK37,$AF$4:$DK$4,Jahresscheiben!F$2)/2,0)</f>
        <v>0</v>
      </c>
      <c r="EC37" s="85">
        <f>IF($A37="x",$L37*SUMIFS($AF37:$DK37,$AF$4:$DK$4,Jahresscheiben!G$2)/2,0)</f>
        <v>0</v>
      </c>
      <c r="ED37" s="85">
        <f>IF($A37="x",$L37*SUMIFS($AF37:$DK37,$AF$4:$DK$4,Jahresscheiben!H$2)/2,0)</f>
        <v>0</v>
      </c>
      <c r="EE37" s="85">
        <f>IF($A37="x",$L37*SUMIFS($AF37:$DK37,$AF$4:$DK$4,Jahresscheiben!I$2)/2,0)</f>
        <v>0</v>
      </c>
      <c r="EF37" s="85"/>
      <c r="EG37" s="61">
        <f t="shared" si="55"/>
        <v>32</v>
      </c>
      <c r="EH37" s="85" cm="1">
        <f t="array" ref="EH3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37" s="85" cm="1">
        <f t="array" ref="EI3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37" s="85" cm="1">
        <f t="array" ref="EJ3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37" s="85" cm="1">
        <f t="array" ref="EK3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37" s="85" cm="1">
        <f t="array" ref="EL3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37" s="85" cm="1">
        <f t="array" ref="EM3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37" s="85" cm="1">
        <f t="array" ref="EN3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37" s="85"/>
      <c r="EQ37" s="61">
        <f t="shared" si="56"/>
        <v>32</v>
      </c>
      <c r="ER37" s="62">
        <f>IF($A37&lt;&gt;"x",$P37*SUMIFS($AF37:$DK37,$AF$4:$DK$4,Jahresscheiben!C$2),0)</f>
        <v>0</v>
      </c>
      <c r="ES37" s="62">
        <f>IF($A37&lt;&gt;"x",$P37*SUMIFS($AF37:$DK37,$AF$4:$DK$4,Jahresscheiben!D$2),0)</f>
        <v>0</v>
      </c>
      <c r="ET37" s="62">
        <f>IF($A37&lt;&gt;"x",$P37*SUMIFS($AF37:$DK37,$AF$4:$DK$4,Jahresscheiben!E$2),0)</f>
        <v>0</v>
      </c>
      <c r="EU37" s="62">
        <f>IF($A37&lt;&gt;"x",$P37*SUMIFS($AF37:$DK37,$AF$4:$DK$4,Jahresscheiben!F$2),0)</f>
        <v>0</v>
      </c>
      <c r="EV37" s="62">
        <f>IF($A37&lt;&gt;"x",$P37*SUMIFS($AF37:$DK37,$AF$4:$DK$4,Jahresscheiben!G$2),0)</f>
        <v>0</v>
      </c>
      <c r="EW37" s="62">
        <f>IF($A37&lt;&gt;"x",$P37*SUMIFS($AF37:$DK37,$AF$4:$DK$4,Jahresscheiben!H$2),0)</f>
        <v>0</v>
      </c>
      <c r="EX37" s="62">
        <f>IF($A37&lt;&gt;"x",$P37*SUMIFS($AF37:$DK37,$AF$4:$DK$4,Jahresscheiben!I$2),0)</f>
        <v>0</v>
      </c>
      <c r="EY37" s="85"/>
      <c r="EZ37" s="61">
        <f t="shared" si="57"/>
        <v>32</v>
      </c>
      <c r="FA37" s="85">
        <f>IF($A37="x",$P37*SUMIFS($AF37:$DK37,$AF$4:$DK$4,Jahresscheiben!C$2)/2,0)</f>
        <v>0</v>
      </c>
      <c r="FB37" s="85">
        <f>IF($A37="x",$P37*SUMIFS($AF37:$DK37,$AF$4:$DK$4,Jahresscheiben!D$2)/2,0)</f>
        <v>0</v>
      </c>
      <c r="FC37" s="85">
        <f>IF($A37="x",$P37*SUMIFS($AF37:$DK37,$AF$4:$DK$4,Jahresscheiben!E$2)/2,0)</f>
        <v>0</v>
      </c>
      <c r="FD37" s="85">
        <f>IF($A37="x",$P37*SUMIFS($AF37:$DK37,$AF$4:$DK$4,Jahresscheiben!F$2)/2,0)</f>
        <v>0</v>
      </c>
      <c r="FE37" s="85">
        <f>IF($A37="x",$P37*SUMIFS($AF37:$DK37,$AF$4:$DK$4,Jahresscheiben!G$2)/2,0)</f>
        <v>0</v>
      </c>
      <c r="FF37" s="85">
        <f>IF($A37="x",$P37*SUMIFS($AF37:$DK37,$AF$4:$DK$4,Jahresscheiben!H$2)/2,0)</f>
        <v>0</v>
      </c>
      <c r="FG37" s="85">
        <f>IF($A37="x",$P37*SUMIFS($AF37:$DK37,$AF$4:$DK$4,Jahresscheiben!I$2)/2,0)</f>
        <v>0</v>
      </c>
      <c r="FH37" s="85"/>
      <c r="FI37" s="61">
        <f t="shared" si="58"/>
        <v>32</v>
      </c>
      <c r="FJ37" s="85" cm="1">
        <f t="array" ref="FJ3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37" s="85" cm="1">
        <f t="array" ref="FK3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37" s="85" cm="1">
        <f t="array" ref="FL3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37" s="85" cm="1">
        <f t="array" ref="FM3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37" s="85" cm="1">
        <f t="array" ref="FN3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37" s="85" cm="1">
        <f t="array" ref="FO3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37" s="85" cm="1">
        <f t="array" ref="FP3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38" spans="1:172" ht="17" hidden="1" customHeight="1" thickBot="1" x14ac:dyDescent="0.55000000000000004">
      <c r="A38" s="30" t="s">
        <v>24</v>
      </c>
      <c r="B38" s="31">
        <f t="shared" si="50"/>
        <v>0</v>
      </c>
      <c r="C38" s="22">
        <f t="shared" si="51"/>
        <v>33</v>
      </c>
      <c r="D38" s="71"/>
      <c r="E38" s="26"/>
      <c r="F38" s="26"/>
      <c r="G38" s="26"/>
      <c r="H38" s="26"/>
      <c r="I38" s="6" t="str">
        <f t="shared" si="40"/>
        <v/>
      </c>
      <c r="J38" s="6" t="str">
        <f t="shared" si="41"/>
        <v/>
      </c>
      <c r="K38" s="26"/>
      <c r="L38" s="53">
        <v>1</v>
      </c>
      <c r="M38" s="60" cm="1">
        <f t="array" ref="M38" xml:space="preserve">
_xlfn.LET(
_xlpm.Z, _xlfn._xlws.FILTER($DY$6:$EE$65,$DX$6:$DX$65=C38),
_xlpm.Q,_xlfn._xlws.FILTER($DP$6:$DV$65,$DO$6:$DO$65=C38),
IF($A38="x",SUMPRODUCT(_xlpm.Z,$DY$73:$EE$73,EH38:EN38),SUMPRODUCT(_xlpm.Q,$DP$73:$DV$73)))</f>
        <v>0</v>
      </c>
      <c r="N38" s="54" t="str" cm="1">
        <f t="array" ref="N38" xml:space="preserve">
_xlfn.LET(
_xlpm.Z, SUM(IF($A38="x",_xlfn._xlws.FILTER($M$6:$M$65,$A$6:$A$65="x"),_xlfn._xlws.FILTER($M$6:$M$65,$A$6:$A$65&lt;&gt;"x"))),
IF(_xlpm.Z&lt;&gt;0,M38/_xlpm.Z,""))</f>
        <v/>
      </c>
      <c r="O38" s="26"/>
      <c r="P38" s="53">
        <f t="shared" si="52"/>
        <v>1</v>
      </c>
      <c r="Q38" s="60" cm="1">
        <f t="array" ref="Q38" xml:space="preserve">
_xlfn.LET(
_xlpm.Z, _xlfn._xlws.FILTER($FA$6:$FG$65,$EZ$6:$EZ$65=C38),
_xlpm.Q,_xlfn._xlws.FILTER($ER$6:$EX$65,$EQ$6:$EQ$65=C38),
IF($A38="x",SUMPRODUCT(_xlpm.Z,$FA$73:$FG$73,FJ38:FP38),SUMPRODUCT(_xlpm.Q,$ER$73:$EX$73)))</f>
        <v>0</v>
      </c>
      <c r="R38" s="54" t="str" cm="1">
        <f t="array" ref="R38" xml:space="preserve">
_xlfn.LET(
_xlpm.Z, SUM(IF($A38="x",_xlfn._xlws.FILTER($Q$6:$Q$65,$A$6:$A$65="x"),_xlfn._xlws.FILTER($Q$6:$Q$65,$A$6:$A$65&lt;&gt;"x"))),
IF(_xlpm.Z&lt;&gt;0,Q38/_xlpm.Z,""))</f>
        <v/>
      </c>
      <c r="S38" s="26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8"/>
      <c r="AE38" s="28"/>
      <c r="AF38" s="23" t="str">
        <f t="shared" si="67"/>
        <v/>
      </c>
      <c r="AG38" s="23" t="str">
        <f t="shared" si="67"/>
        <v/>
      </c>
      <c r="AH38" s="23" t="str">
        <f t="shared" si="67"/>
        <v/>
      </c>
      <c r="AI38" s="23" t="str">
        <f t="shared" si="67"/>
        <v/>
      </c>
      <c r="AJ38" s="23" t="str">
        <f t="shared" si="67"/>
        <v/>
      </c>
      <c r="AK38" s="23" t="str">
        <f t="shared" si="67"/>
        <v/>
      </c>
      <c r="AL38" s="23" t="str">
        <f t="shared" si="67"/>
        <v/>
      </c>
      <c r="AM38" s="23" t="str">
        <f t="shared" si="67"/>
        <v/>
      </c>
      <c r="AN38" s="23" t="str">
        <f t="shared" si="67"/>
        <v/>
      </c>
      <c r="AO38" s="23" t="str">
        <f t="shared" si="67"/>
        <v/>
      </c>
      <c r="AP38" s="23" t="str">
        <f t="shared" si="68"/>
        <v/>
      </c>
      <c r="AQ38" s="23" t="str">
        <f t="shared" si="68"/>
        <v/>
      </c>
      <c r="AR38" s="23" t="str">
        <f t="shared" si="68"/>
        <v/>
      </c>
      <c r="AS38" s="23" t="str">
        <f t="shared" si="68"/>
        <v/>
      </c>
      <c r="AT38" s="23" t="str">
        <f t="shared" si="68"/>
        <v/>
      </c>
      <c r="AU38" s="23" t="str">
        <f t="shared" si="68"/>
        <v/>
      </c>
      <c r="AV38" s="23" t="str">
        <f t="shared" si="68"/>
        <v/>
      </c>
      <c r="AW38" s="23" t="str">
        <f t="shared" si="68"/>
        <v/>
      </c>
      <c r="AX38" s="23" t="str">
        <f t="shared" si="68"/>
        <v/>
      </c>
      <c r="AY38" s="23" t="str">
        <f t="shared" si="68"/>
        <v/>
      </c>
      <c r="AZ38" s="23" t="str">
        <f t="shared" si="69"/>
        <v/>
      </c>
      <c r="BA38" s="23" t="str">
        <f t="shared" si="69"/>
        <v/>
      </c>
      <c r="BB38" s="23" t="str">
        <f t="shared" si="69"/>
        <v/>
      </c>
      <c r="BC38" s="23" t="str">
        <f t="shared" si="69"/>
        <v/>
      </c>
      <c r="BD38" s="23" t="str">
        <f t="shared" si="69"/>
        <v/>
      </c>
      <c r="BE38" s="23" t="str">
        <f t="shared" si="69"/>
        <v/>
      </c>
      <c r="BF38" s="23" t="str">
        <f t="shared" si="69"/>
        <v/>
      </c>
      <c r="BG38" s="23" t="str">
        <f t="shared" si="69"/>
        <v/>
      </c>
      <c r="BH38" s="23" t="str">
        <f t="shared" si="69"/>
        <v/>
      </c>
      <c r="BI38" s="23" t="str">
        <f t="shared" si="69"/>
        <v/>
      </c>
      <c r="BJ38" s="23" t="str">
        <f t="shared" si="70"/>
        <v/>
      </c>
      <c r="BK38" s="23" t="str">
        <f t="shared" si="70"/>
        <v/>
      </c>
      <c r="BL38" s="23" t="str">
        <f t="shared" si="70"/>
        <v/>
      </c>
      <c r="BM38" s="23" t="str">
        <f t="shared" si="70"/>
        <v/>
      </c>
      <c r="BN38" s="23" t="str">
        <f t="shared" si="70"/>
        <v/>
      </c>
      <c r="BO38" s="23" t="str">
        <f t="shared" si="70"/>
        <v/>
      </c>
      <c r="BP38" s="23" t="str">
        <f t="shared" si="70"/>
        <v/>
      </c>
      <c r="BQ38" s="23" t="str">
        <f t="shared" si="70"/>
        <v/>
      </c>
      <c r="BR38" s="23" t="str">
        <f t="shared" si="70"/>
        <v/>
      </c>
      <c r="BS38" s="23" t="str">
        <f t="shared" si="70"/>
        <v/>
      </c>
      <c r="BT38" s="23" t="str">
        <f t="shared" si="71"/>
        <v/>
      </c>
      <c r="BU38" s="23" t="str">
        <f t="shared" si="71"/>
        <v/>
      </c>
      <c r="BV38" s="23" t="str">
        <f t="shared" si="71"/>
        <v/>
      </c>
      <c r="BW38" s="23" t="str">
        <f t="shared" si="71"/>
        <v/>
      </c>
      <c r="BX38" s="23" t="str">
        <f t="shared" si="71"/>
        <v/>
      </c>
      <c r="BY38" s="23" t="str">
        <f t="shared" si="71"/>
        <v/>
      </c>
      <c r="BZ38" s="23" t="str">
        <f t="shared" si="71"/>
        <v/>
      </c>
      <c r="CA38" s="23" t="str">
        <f t="shared" si="71"/>
        <v/>
      </c>
      <c r="CB38" s="23" t="str">
        <f t="shared" si="71"/>
        <v/>
      </c>
      <c r="CC38" s="23" t="str">
        <f t="shared" si="71"/>
        <v/>
      </c>
      <c r="CD38" s="23" t="str">
        <f t="shared" si="72"/>
        <v/>
      </c>
      <c r="CE38" s="23" t="str">
        <f t="shared" si="72"/>
        <v/>
      </c>
      <c r="CF38" s="23" t="str">
        <f t="shared" si="72"/>
        <v/>
      </c>
      <c r="CG38" s="23" t="str">
        <f t="shared" si="72"/>
        <v/>
      </c>
      <c r="CH38" s="23" t="str">
        <f t="shared" si="72"/>
        <v/>
      </c>
      <c r="CI38" s="23" t="str">
        <f t="shared" si="72"/>
        <v/>
      </c>
      <c r="CJ38" s="23" t="str">
        <f t="shared" si="72"/>
        <v/>
      </c>
      <c r="CK38" s="23" t="str">
        <f t="shared" si="72"/>
        <v/>
      </c>
      <c r="CL38" s="23" t="str">
        <f t="shared" si="72"/>
        <v/>
      </c>
      <c r="CM38" s="23" t="str">
        <f t="shared" si="72"/>
        <v/>
      </c>
      <c r="CN38" s="23" t="str">
        <f t="shared" si="73"/>
        <v/>
      </c>
      <c r="CO38" s="23" t="str">
        <f t="shared" si="73"/>
        <v/>
      </c>
      <c r="CP38" s="23" t="str">
        <f t="shared" si="73"/>
        <v/>
      </c>
      <c r="CQ38" s="23" t="str">
        <f t="shared" si="73"/>
        <v/>
      </c>
      <c r="CR38" s="23" t="str">
        <f t="shared" si="73"/>
        <v/>
      </c>
      <c r="CS38" s="23" t="str">
        <f t="shared" si="73"/>
        <v/>
      </c>
      <c r="CT38" s="23" t="str">
        <f t="shared" si="73"/>
        <v/>
      </c>
      <c r="CU38" s="23" t="str">
        <f t="shared" si="73"/>
        <v/>
      </c>
      <c r="CV38" s="23" t="str">
        <f t="shared" si="73"/>
        <v/>
      </c>
      <c r="CW38" s="23" t="str">
        <f t="shared" si="73"/>
        <v/>
      </c>
      <c r="CX38" s="23" t="str">
        <f t="shared" si="73"/>
        <v/>
      </c>
      <c r="CY38" s="23" t="str">
        <f t="shared" si="73"/>
        <v/>
      </c>
      <c r="CZ38" s="23" t="str">
        <f t="shared" si="73"/>
        <v/>
      </c>
      <c r="DA38" s="23" t="str">
        <f t="shared" si="73"/>
        <v/>
      </c>
      <c r="DB38" s="23" t="str">
        <f t="shared" si="73"/>
        <v/>
      </c>
      <c r="DC38" s="23" t="str">
        <f t="shared" si="73"/>
        <v/>
      </c>
      <c r="DD38" s="23" t="str">
        <f t="shared" si="89"/>
        <v/>
      </c>
      <c r="DE38" s="23" t="str">
        <f t="shared" si="89"/>
        <v/>
      </c>
      <c r="DF38" s="23" t="str">
        <f t="shared" si="89"/>
        <v/>
      </c>
      <c r="DG38" s="23" t="str">
        <f t="shared" si="89"/>
        <v/>
      </c>
      <c r="DH38" s="23" t="str">
        <f t="shared" si="89"/>
        <v/>
      </c>
      <c r="DI38" s="23" t="str">
        <f t="shared" si="89"/>
        <v/>
      </c>
      <c r="DJ38" s="23" t="str">
        <f t="shared" si="89"/>
        <v/>
      </c>
      <c r="DK38" s="23" t="str">
        <f t="shared" si="89"/>
        <v/>
      </c>
      <c r="DO38" s="61">
        <f t="shared" si="53"/>
        <v>33</v>
      </c>
      <c r="DP38" s="61">
        <f>IF($A38&lt;&gt;"x",$L38*SUMIFS($AF38:$DK38,$AF$4:$DK$4,Jahresscheiben!C$2),0)</f>
        <v>0</v>
      </c>
      <c r="DQ38" s="61">
        <f>IF($A38&lt;&gt;"x",$L38*SUMIFS($AF38:$DK38,$AF$4:$DK$4,Jahresscheiben!D$2),0)</f>
        <v>0</v>
      </c>
      <c r="DR38" s="61">
        <f>IF($A38&lt;&gt;"x",$L38*SUMIFS($AF38:$DK38,$AF$4:$DK$4,Jahresscheiben!E$2),0)</f>
        <v>0</v>
      </c>
      <c r="DS38" s="61">
        <f>IF($A38&lt;&gt;"x",$L38*SUMIFS($AF38:$DK38,$AF$4:$DK$4,Jahresscheiben!F$2),0)</f>
        <v>0</v>
      </c>
      <c r="DT38" s="61">
        <f>IF($A38&lt;&gt;"x",$L38*SUMIFS($AF38:$DK38,$AF$4:$DK$4,Jahresscheiben!G$2),0)</f>
        <v>0</v>
      </c>
      <c r="DU38" s="61">
        <f>IF($A38&lt;&gt;"x",$L38*SUMIFS($AF38:$DK38,$AF$4:$DK$4,Jahresscheiben!H$2),0)</f>
        <v>0</v>
      </c>
      <c r="DV38" s="61">
        <f>IF($A38&lt;&gt;"x",$L38*SUMIFS($AF38:$DK38,$AF$4:$DK$4,Jahresscheiben!I$2),0)</f>
        <v>0</v>
      </c>
      <c r="DW38" s="85"/>
      <c r="DX38" s="61">
        <f t="shared" si="54"/>
        <v>33</v>
      </c>
      <c r="DY38" s="85">
        <f>IF($A38="x",$L38*SUMIFS($AF38:$DK38,$AF$4:$DK$4,Jahresscheiben!C$2)/2,0)</f>
        <v>0</v>
      </c>
      <c r="DZ38" s="85">
        <f>IF($A38="x",$L38*SUMIFS($AF38:$DK38,$AF$4:$DK$4,Jahresscheiben!D$2)/2,0)</f>
        <v>0</v>
      </c>
      <c r="EA38" s="85">
        <f>IF($A38="x",$L38*SUMIFS($AF38:$DK38,$AF$4:$DK$4,Jahresscheiben!E$2)/2,0)</f>
        <v>0</v>
      </c>
      <c r="EB38" s="85">
        <f>IF($A38="x",$L38*SUMIFS($AF38:$DK38,$AF$4:$DK$4,Jahresscheiben!F$2)/2,0)</f>
        <v>0</v>
      </c>
      <c r="EC38" s="85">
        <f>IF($A38="x",$L38*SUMIFS($AF38:$DK38,$AF$4:$DK$4,Jahresscheiben!G$2)/2,0)</f>
        <v>0</v>
      </c>
      <c r="ED38" s="85">
        <f>IF($A38="x",$L38*SUMIFS($AF38:$DK38,$AF$4:$DK$4,Jahresscheiben!H$2)/2,0)</f>
        <v>0</v>
      </c>
      <c r="EE38" s="85">
        <f>IF($A38="x",$L38*SUMIFS($AF38:$DK38,$AF$4:$DK$4,Jahresscheiben!I$2)/2,0)</f>
        <v>0</v>
      </c>
      <c r="EF38" s="85"/>
      <c r="EG38" s="61">
        <f t="shared" si="55"/>
        <v>33</v>
      </c>
      <c r="EH38" s="85" cm="1">
        <f t="array" ref="EH3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38" s="85" cm="1">
        <f t="array" ref="EI3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38" s="85" cm="1">
        <f t="array" ref="EJ3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38" s="85" cm="1">
        <f t="array" ref="EK3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38" s="85" cm="1">
        <f t="array" ref="EL3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38" s="85" cm="1">
        <f t="array" ref="EM3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38" s="85" cm="1">
        <f t="array" ref="EN3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38" s="85"/>
      <c r="EQ38" s="61">
        <f t="shared" si="56"/>
        <v>33</v>
      </c>
      <c r="ER38" s="62">
        <f>IF($A38&lt;&gt;"x",$P38*SUMIFS($AF38:$DK38,$AF$4:$DK$4,Jahresscheiben!C$2),0)</f>
        <v>0</v>
      </c>
      <c r="ES38" s="62">
        <f>IF($A38&lt;&gt;"x",$P38*SUMIFS($AF38:$DK38,$AF$4:$DK$4,Jahresscheiben!D$2),0)</f>
        <v>0</v>
      </c>
      <c r="ET38" s="62">
        <f>IF($A38&lt;&gt;"x",$P38*SUMIFS($AF38:$DK38,$AF$4:$DK$4,Jahresscheiben!E$2),0)</f>
        <v>0</v>
      </c>
      <c r="EU38" s="62">
        <f>IF($A38&lt;&gt;"x",$P38*SUMIFS($AF38:$DK38,$AF$4:$DK$4,Jahresscheiben!F$2),0)</f>
        <v>0</v>
      </c>
      <c r="EV38" s="62">
        <f>IF($A38&lt;&gt;"x",$P38*SUMIFS($AF38:$DK38,$AF$4:$DK$4,Jahresscheiben!G$2),0)</f>
        <v>0</v>
      </c>
      <c r="EW38" s="62">
        <f>IF($A38&lt;&gt;"x",$P38*SUMIFS($AF38:$DK38,$AF$4:$DK$4,Jahresscheiben!H$2),0)</f>
        <v>0</v>
      </c>
      <c r="EX38" s="62">
        <f>IF($A38&lt;&gt;"x",$P38*SUMIFS($AF38:$DK38,$AF$4:$DK$4,Jahresscheiben!I$2),0)</f>
        <v>0</v>
      </c>
      <c r="EY38" s="85"/>
      <c r="EZ38" s="61">
        <f t="shared" si="57"/>
        <v>33</v>
      </c>
      <c r="FA38" s="85">
        <f>IF($A38="x",$P38*SUMIFS($AF38:$DK38,$AF$4:$DK$4,Jahresscheiben!C$2)/2,0)</f>
        <v>0</v>
      </c>
      <c r="FB38" s="85">
        <f>IF($A38="x",$P38*SUMIFS($AF38:$DK38,$AF$4:$DK$4,Jahresscheiben!D$2)/2,0)</f>
        <v>0</v>
      </c>
      <c r="FC38" s="85">
        <f>IF($A38="x",$P38*SUMIFS($AF38:$DK38,$AF$4:$DK$4,Jahresscheiben!E$2)/2,0)</f>
        <v>0</v>
      </c>
      <c r="FD38" s="85">
        <f>IF($A38="x",$P38*SUMIFS($AF38:$DK38,$AF$4:$DK$4,Jahresscheiben!F$2)/2,0)</f>
        <v>0</v>
      </c>
      <c r="FE38" s="85">
        <f>IF($A38="x",$P38*SUMIFS($AF38:$DK38,$AF$4:$DK$4,Jahresscheiben!G$2)/2,0)</f>
        <v>0</v>
      </c>
      <c r="FF38" s="85">
        <f>IF($A38="x",$P38*SUMIFS($AF38:$DK38,$AF$4:$DK$4,Jahresscheiben!H$2)/2,0)</f>
        <v>0</v>
      </c>
      <c r="FG38" s="85">
        <f>IF($A38="x",$P38*SUMIFS($AF38:$DK38,$AF$4:$DK$4,Jahresscheiben!I$2)/2,0)</f>
        <v>0</v>
      </c>
      <c r="FH38" s="85"/>
      <c r="FI38" s="61">
        <f t="shared" si="58"/>
        <v>33</v>
      </c>
      <c r="FJ38" s="85" cm="1">
        <f t="array" ref="FJ3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38" s="85" cm="1">
        <f t="array" ref="FK3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38" s="85" cm="1">
        <f t="array" ref="FL3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38" s="85" cm="1">
        <f t="array" ref="FM3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38" s="85" cm="1">
        <f t="array" ref="FN3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38" s="85" cm="1">
        <f t="array" ref="FO3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38" s="85" cm="1">
        <f t="array" ref="FP3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39" spans="1:172" ht="17" hidden="1" customHeight="1" thickBot="1" x14ac:dyDescent="0.55000000000000004">
      <c r="A39" s="30" t="s">
        <v>24</v>
      </c>
      <c r="B39" s="31">
        <f t="shared" si="50"/>
        <v>0</v>
      </c>
      <c r="C39" s="22">
        <f t="shared" si="51"/>
        <v>34</v>
      </c>
      <c r="D39" s="71"/>
      <c r="E39" s="26"/>
      <c r="F39" s="26"/>
      <c r="G39" s="26"/>
      <c r="H39" s="26"/>
      <c r="I39" s="6" t="str">
        <f t="shared" si="40"/>
        <v/>
      </c>
      <c r="J39" s="6" t="str">
        <f t="shared" si="41"/>
        <v/>
      </c>
      <c r="K39" s="26"/>
      <c r="L39" s="53">
        <v>1</v>
      </c>
      <c r="M39" s="60" cm="1">
        <f t="array" ref="M39" xml:space="preserve">
_xlfn.LET(
_xlpm.Z, _xlfn._xlws.FILTER($DY$6:$EE$65,$DX$6:$DX$65=C39),
_xlpm.Q,_xlfn._xlws.FILTER($DP$6:$DV$65,$DO$6:$DO$65=C39),
IF($A39="x",SUMPRODUCT(_xlpm.Z,$DY$73:$EE$73,EH39:EN39),SUMPRODUCT(_xlpm.Q,$DP$73:$DV$73)))</f>
        <v>0</v>
      </c>
      <c r="N39" s="54" t="str" cm="1">
        <f t="array" ref="N39" xml:space="preserve">
_xlfn.LET(
_xlpm.Z, SUM(IF($A39="x",_xlfn._xlws.FILTER($M$6:$M$65,$A$6:$A$65="x"),_xlfn._xlws.FILTER($M$6:$M$65,$A$6:$A$65&lt;&gt;"x"))),
IF(_xlpm.Z&lt;&gt;0,M39/_xlpm.Z,""))</f>
        <v/>
      </c>
      <c r="O39" s="26"/>
      <c r="P39" s="53">
        <f t="shared" si="52"/>
        <v>1</v>
      </c>
      <c r="Q39" s="60" cm="1">
        <f t="array" ref="Q39" xml:space="preserve">
_xlfn.LET(
_xlpm.Z, _xlfn._xlws.FILTER($FA$6:$FG$65,$EZ$6:$EZ$65=C39),
_xlpm.Q,_xlfn._xlws.FILTER($ER$6:$EX$65,$EQ$6:$EQ$65=C39),
IF($A39="x",SUMPRODUCT(_xlpm.Z,$FA$73:$FG$73,FJ39:FP39),SUMPRODUCT(_xlpm.Q,$ER$73:$EX$73)))</f>
        <v>0</v>
      </c>
      <c r="R39" s="54" t="str" cm="1">
        <f t="array" ref="R39" xml:space="preserve">
_xlfn.LET(
_xlpm.Z, SUM(IF($A39="x",_xlfn._xlws.FILTER($Q$6:$Q$65,$A$6:$A$65="x"),_xlfn._xlws.FILTER($Q$6:$Q$65,$A$6:$A$65&lt;&gt;"x"))),
IF(_xlpm.Z&lt;&gt;0,Q39/_xlpm.Z,""))</f>
        <v/>
      </c>
      <c r="S39" s="26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8"/>
      <c r="AE39" s="28"/>
      <c r="AF39" s="23" t="str">
        <f t="shared" si="67"/>
        <v/>
      </c>
      <c r="AG39" s="23" t="str">
        <f t="shared" si="67"/>
        <v/>
      </c>
      <c r="AH39" s="23" t="str">
        <f t="shared" si="67"/>
        <v/>
      </c>
      <c r="AI39" s="23" t="str">
        <f t="shared" si="67"/>
        <v/>
      </c>
      <c r="AJ39" s="23" t="str">
        <f t="shared" si="67"/>
        <v/>
      </c>
      <c r="AK39" s="23" t="str">
        <f t="shared" si="67"/>
        <v/>
      </c>
      <c r="AL39" s="23" t="str">
        <f t="shared" si="67"/>
        <v/>
      </c>
      <c r="AM39" s="23" t="str">
        <f t="shared" si="67"/>
        <v/>
      </c>
      <c r="AN39" s="23" t="str">
        <f t="shared" si="67"/>
        <v/>
      </c>
      <c r="AO39" s="23" t="str">
        <f t="shared" si="67"/>
        <v/>
      </c>
      <c r="AP39" s="23" t="str">
        <f t="shared" si="68"/>
        <v/>
      </c>
      <c r="AQ39" s="23" t="str">
        <f t="shared" si="68"/>
        <v/>
      </c>
      <c r="AR39" s="23" t="str">
        <f t="shared" si="68"/>
        <v/>
      </c>
      <c r="AS39" s="23" t="str">
        <f t="shared" si="68"/>
        <v/>
      </c>
      <c r="AT39" s="23" t="str">
        <f t="shared" si="68"/>
        <v/>
      </c>
      <c r="AU39" s="23" t="str">
        <f t="shared" si="68"/>
        <v/>
      </c>
      <c r="AV39" s="23" t="str">
        <f t="shared" si="68"/>
        <v/>
      </c>
      <c r="AW39" s="23" t="str">
        <f t="shared" si="68"/>
        <v/>
      </c>
      <c r="AX39" s="23" t="str">
        <f t="shared" si="68"/>
        <v/>
      </c>
      <c r="AY39" s="23" t="str">
        <f t="shared" si="68"/>
        <v/>
      </c>
      <c r="AZ39" s="23" t="str">
        <f t="shared" si="69"/>
        <v/>
      </c>
      <c r="BA39" s="23" t="str">
        <f t="shared" si="69"/>
        <v/>
      </c>
      <c r="BB39" s="23" t="str">
        <f t="shared" si="69"/>
        <v/>
      </c>
      <c r="BC39" s="23" t="str">
        <f t="shared" si="69"/>
        <v/>
      </c>
      <c r="BD39" s="23" t="str">
        <f t="shared" si="69"/>
        <v/>
      </c>
      <c r="BE39" s="23" t="str">
        <f t="shared" si="69"/>
        <v/>
      </c>
      <c r="BF39" s="23" t="str">
        <f t="shared" si="69"/>
        <v/>
      </c>
      <c r="BG39" s="23" t="str">
        <f t="shared" si="69"/>
        <v/>
      </c>
      <c r="BH39" s="23" t="str">
        <f t="shared" si="69"/>
        <v/>
      </c>
      <c r="BI39" s="23" t="str">
        <f t="shared" si="69"/>
        <v/>
      </c>
      <c r="BJ39" s="23" t="str">
        <f t="shared" si="70"/>
        <v/>
      </c>
      <c r="BK39" s="23" t="str">
        <f t="shared" si="70"/>
        <v/>
      </c>
      <c r="BL39" s="23" t="str">
        <f t="shared" si="70"/>
        <v/>
      </c>
      <c r="BM39" s="23" t="str">
        <f t="shared" si="70"/>
        <v/>
      </c>
      <c r="BN39" s="23" t="str">
        <f t="shared" si="70"/>
        <v/>
      </c>
      <c r="BO39" s="23" t="str">
        <f t="shared" si="70"/>
        <v/>
      </c>
      <c r="BP39" s="23" t="str">
        <f t="shared" si="70"/>
        <v/>
      </c>
      <c r="BQ39" s="23" t="str">
        <f t="shared" si="70"/>
        <v/>
      </c>
      <c r="BR39" s="23" t="str">
        <f t="shared" si="70"/>
        <v/>
      </c>
      <c r="BS39" s="23" t="str">
        <f t="shared" si="70"/>
        <v/>
      </c>
      <c r="BT39" s="23" t="str">
        <f t="shared" si="71"/>
        <v/>
      </c>
      <c r="BU39" s="23" t="str">
        <f t="shared" si="71"/>
        <v/>
      </c>
      <c r="BV39" s="23" t="str">
        <f t="shared" si="71"/>
        <v/>
      </c>
      <c r="BW39" s="23" t="str">
        <f t="shared" si="71"/>
        <v/>
      </c>
      <c r="BX39" s="23" t="str">
        <f t="shared" si="71"/>
        <v/>
      </c>
      <c r="BY39" s="23" t="str">
        <f t="shared" si="71"/>
        <v/>
      </c>
      <c r="BZ39" s="23" t="str">
        <f t="shared" si="71"/>
        <v/>
      </c>
      <c r="CA39" s="23" t="str">
        <f t="shared" si="71"/>
        <v/>
      </c>
      <c r="CB39" s="23" t="str">
        <f t="shared" si="71"/>
        <v/>
      </c>
      <c r="CC39" s="23" t="str">
        <f t="shared" si="71"/>
        <v/>
      </c>
      <c r="CD39" s="23" t="str">
        <f t="shared" si="72"/>
        <v/>
      </c>
      <c r="CE39" s="23" t="str">
        <f t="shared" si="72"/>
        <v/>
      </c>
      <c r="CF39" s="23" t="str">
        <f t="shared" si="72"/>
        <v/>
      </c>
      <c r="CG39" s="23" t="str">
        <f t="shared" si="72"/>
        <v/>
      </c>
      <c r="CH39" s="23" t="str">
        <f t="shared" si="72"/>
        <v/>
      </c>
      <c r="CI39" s="23" t="str">
        <f t="shared" si="72"/>
        <v/>
      </c>
      <c r="CJ39" s="23" t="str">
        <f t="shared" si="72"/>
        <v/>
      </c>
      <c r="CK39" s="23" t="str">
        <f t="shared" si="72"/>
        <v/>
      </c>
      <c r="CL39" s="23" t="str">
        <f t="shared" si="72"/>
        <v/>
      </c>
      <c r="CM39" s="23" t="str">
        <f t="shared" si="72"/>
        <v/>
      </c>
      <c r="CN39" s="23" t="str">
        <f t="shared" si="73"/>
        <v/>
      </c>
      <c r="CO39" s="23" t="str">
        <f t="shared" si="73"/>
        <v/>
      </c>
      <c r="CP39" s="23" t="str">
        <f t="shared" si="73"/>
        <v/>
      </c>
      <c r="CQ39" s="23" t="str">
        <f t="shared" si="73"/>
        <v/>
      </c>
      <c r="CR39" s="23" t="str">
        <f t="shared" si="73"/>
        <v/>
      </c>
      <c r="CS39" s="23" t="str">
        <f t="shared" si="73"/>
        <v/>
      </c>
      <c r="CT39" s="23" t="str">
        <f t="shared" si="73"/>
        <v/>
      </c>
      <c r="CU39" s="23" t="str">
        <f t="shared" si="73"/>
        <v/>
      </c>
      <c r="CV39" s="23" t="str">
        <f t="shared" si="73"/>
        <v/>
      </c>
      <c r="CW39" s="23" t="str">
        <f t="shared" si="73"/>
        <v/>
      </c>
      <c r="CX39" s="23" t="str">
        <f t="shared" si="73"/>
        <v/>
      </c>
      <c r="CY39" s="23" t="str">
        <f t="shared" si="73"/>
        <v/>
      </c>
      <c r="CZ39" s="23" t="str">
        <f t="shared" si="73"/>
        <v/>
      </c>
      <c r="DA39" s="23" t="str">
        <f t="shared" si="73"/>
        <v/>
      </c>
      <c r="DB39" s="23" t="str">
        <f t="shared" si="73"/>
        <v/>
      </c>
      <c r="DC39" s="23" t="str">
        <f t="shared" si="73"/>
        <v/>
      </c>
      <c r="DD39" s="23" t="str">
        <f t="shared" si="89"/>
        <v/>
      </c>
      <c r="DE39" s="23" t="str">
        <f t="shared" si="89"/>
        <v/>
      </c>
      <c r="DF39" s="23" t="str">
        <f t="shared" si="89"/>
        <v/>
      </c>
      <c r="DG39" s="23" t="str">
        <f t="shared" si="89"/>
        <v/>
      </c>
      <c r="DH39" s="23" t="str">
        <f t="shared" si="89"/>
        <v/>
      </c>
      <c r="DI39" s="23" t="str">
        <f t="shared" si="89"/>
        <v/>
      </c>
      <c r="DJ39" s="23" t="str">
        <f t="shared" si="89"/>
        <v/>
      </c>
      <c r="DK39" s="23" t="str">
        <f t="shared" si="89"/>
        <v/>
      </c>
      <c r="DO39" s="61">
        <f t="shared" si="53"/>
        <v>34</v>
      </c>
      <c r="DP39" s="61">
        <f>IF($A39&lt;&gt;"x",$L39*SUMIFS($AF39:$DK39,$AF$4:$DK$4,Jahresscheiben!C$2),0)</f>
        <v>0</v>
      </c>
      <c r="DQ39" s="61">
        <f>IF($A39&lt;&gt;"x",$L39*SUMIFS($AF39:$DK39,$AF$4:$DK$4,Jahresscheiben!D$2),0)</f>
        <v>0</v>
      </c>
      <c r="DR39" s="61">
        <f>IF($A39&lt;&gt;"x",$L39*SUMIFS($AF39:$DK39,$AF$4:$DK$4,Jahresscheiben!E$2),0)</f>
        <v>0</v>
      </c>
      <c r="DS39" s="61">
        <f>IF($A39&lt;&gt;"x",$L39*SUMIFS($AF39:$DK39,$AF$4:$DK$4,Jahresscheiben!F$2),0)</f>
        <v>0</v>
      </c>
      <c r="DT39" s="61">
        <f>IF($A39&lt;&gt;"x",$L39*SUMIFS($AF39:$DK39,$AF$4:$DK$4,Jahresscheiben!G$2),0)</f>
        <v>0</v>
      </c>
      <c r="DU39" s="61">
        <f>IF($A39&lt;&gt;"x",$L39*SUMIFS($AF39:$DK39,$AF$4:$DK$4,Jahresscheiben!H$2),0)</f>
        <v>0</v>
      </c>
      <c r="DV39" s="61">
        <f>IF($A39&lt;&gt;"x",$L39*SUMIFS($AF39:$DK39,$AF$4:$DK$4,Jahresscheiben!I$2),0)</f>
        <v>0</v>
      </c>
      <c r="DW39" s="85"/>
      <c r="DX39" s="61">
        <f t="shared" si="54"/>
        <v>34</v>
      </c>
      <c r="DY39" s="85">
        <f>IF($A39="x",$L39*SUMIFS($AF39:$DK39,$AF$4:$DK$4,Jahresscheiben!C$2)/2,0)</f>
        <v>0</v>
      </c>
      <c r="DZ39" s="85">
        <f>IF($A39="x",$L39*SUMIFS($AF39:$DK39,$AF$4:$DK$4,Jahresscheiben!D$2)/2,0)</f>
        <v>0</v>
      </c>
      <c r="EA39" s="85">
        <f>IF($A39="x",$L39*SUMIFS($AF39:$DK39,$AF$4:$DK$4,Jahresscheiben!E$2)/2,0)</f>
        <v>0</v>
      </c>
      <c r="EB39" s="85">
        <f>IF($A39="x",$L39*SUMIFS($AF39:$DK39,$AF$4:$DK$4,Jahresscheiben!F$2)/2,0)</f>
        <v>0</v>
      </c>
      <c r="EC39" s="85">
        <f>IF($A39="x",$L39*SUMIFS($AF39:$DK39,$AF$4:$DK$4,Jahresscheiben!G$2)/2,0)</f>
        <v>0</v>
      </c>
      <c r="ED39" s="85">
        <f>IF($A39="x",$L39*SUMIFS($AF39:$DK39,$AF$4:$DK$4,Jahresscheiben!H$2)/2,0)</f>
        <v>0</v>
      </c>
      <c r="EE39" s="85">
        <f>IF($A39="x",$L39*SUMIFS($AF39:$DK39,$AF$4:$DK$4,Jahresscheiben!I$2)/2,0)</f>
        <v>0</v>
      </c>
      <c r="EF39" s="85"/>
      <c r="EG39" s="61">
        <f t="shared" si="55"/>
        <v>34</v>
      </c>
      <c r="EH39" s="85" cm="1">
        <f t="array" ref="EH3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39" s="85" cm="1">
        <f t="array" ref="EI3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39" s="85" cm="1">
        <f t="array" ref="EJ3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39" s="85" cm="1">
        <f t="array" ref="EK3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39" s="85" cm="1">
        <f t="array" ref="EL3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39" s="85" cm="1">
        <f t="array" ref="EM3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39" s="85" cm="1">
        <f t="array" ref="EN3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39" s="85"/>
      <c r="EQ39" s="61">
        <f t="shared" si="56"/>
        <v>34</v>
      </c>
      <c r="ER39" s="62">
        <f>IF($A39&lt;&gt;"x",$P39*SUMIFS($AF39:$DK39,$AF$4:$DK$4,Jahresscheiben!C$2),0)</f>
        <v>0</v>
      </c>
      <c r="ES39" s="62">
        <f>IF($A39&lt;&gt;"x",$P39*SUMIFS($AF39:$DK39,$AF$4:$DK$4,Jahresscheiben!D$2),0)</f>
        <v>0</v>
      </c>
      <c r="ET39" s="62">
        <f>IF($A39&lt;&gt;"x",$P39*SUMIFS($AF39:$DK39,$AF$4:$DK$4,Jahresscheiben!E$2),0)</f>
        <v>0</v>
      </c>
      <c r="EU39" s="62">
        <f>IF($A39&lt;&gt;"x",$P39*SUMIFS($AF39:$DK39,$AF$4:$DK$4,Jahresscheiben!F$2),0)</f>
        <v>0</v>
      </c>
      <c r="EV39" s="62">
        <f>IF($A39&lt;&gt;"x",$P39*SUMIFS($AF39:$DK39,$AF$4:$DK$4,Jahresscheiben!G$2),0)</f>
        <v>0</v>
      </c>
      <c r="EW39" s="62">
        <f>IF($A39&lt;&gt;"x",$P39*SUMIFS($AF39:$DK39,$AF$4:$DK$4,Jahresscheiben!H$2),0)</f>
        <v>0</v>
      </c>
      <c r="EX39" s="62">
        <f>IF($A39&lt;&gt;"x",$P39*SUMIFS($AF39:$DK39,$AF$4:$DK$4,Jahresscheiben!I$2),0)</f>
        <v>0</v>
      </c>
      <c r="EY39" s="85"/>
      <c r="EZ39" s="61">
        <f t="shared" si="57"/>
        <v>34</v>
      </c>
      <c r="FA39" s="85">
        <f>IF($A39="x",$P39*SUMIFS($AF39:$DK39,$AF$4:$DK$4,Jahresscheiben!C$2)/2,0)</f>
        <v>0</v>
      </c>
      <c r="FB39" s="85">
        <f>IF($A39="x",$P39*SUMIFS($AF39:$DK39,$AF$4:$DK$4,Jahresscheiben!D$2)/2,0)</f>
        <v>0</v>
      </c>
      <c r="FC39" s="85">
        <f>IF($A39="x",$P39*SUMIFS($AF39:$DK39,$AF$4:$DK$4,Jahresscheiben!E$2)/2,0)</f>
        <v>0</v>
      </c>
      <c r="FD39" s="85">
        <f>IF($A39="x",$P39*SUMIFS($AF39:$DK39,$AF$4:$DK$4,Jahresscheiben!F$2)/2,0)</f>
        <v>0</v>
      </c>
      <c r="FE39" s="85">
        <f>IF($A39="x",$P39*SUMIFS($AF39:$DK39,$AF$4:$DK$4,Jahresscheiben!G$2)/2,0)</f>
        <v>0</v>
      </c>
      <c r="FF39" s="85">
        <f>IF($A39="x",$P39*SUMIFS($AF39:$DK39,$AF$4:$DK$4,Jahresscheiben!H$2)/2,0)</f>
        <v>0</v>
      </c>
      <c r="FG39" s="85">
        <f>IF($A39="x",$P39*SUMIFS($AF39:$DK39,$AF$4:$DK$4,Jahresscheiben!I$2)/2,0)</f>
        <v>0</v>
      </c>
      <c r="FH39" s="85"/>
      <c r="FI39" s="61">
        <f t="shared" si="58"/>
        <v>34</v>
      </c>
      <c r="FJ39" s="85" cm="1">
        <f t="array" ref="FJ3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39" s="85" cm="1">
        <f t="array" ref="FK3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39" s="85" cm="1">
        <f t="array" ref="FL3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39" s="85" cm="1">
        <f t="array" ref="FM3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39" s="85" cm="1">
        <f t="array" ref="FN3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39" s="85" cm="1">
        <f t="array" ref="FO3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39" s="85" cm="1">
        <f t="array" ref="FP3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40" spans="1:172" ht="17" hidden="1" customHeight="1" thickBot="1" x14ac:dyDescent="0.55000000000000004">
      <c r="A40" s="30" t="s">
        <v>24</v>
      </c>
      <c r="B40" s="31">
        <f t="shared" si="50"/>
        <v>0</v>
      </c>
      <c r="C40" s="22">
        <f t="shared" si="51"/>
        <v>35</v>
      </c>
      <c r="D40" s="70"/>
      <c r="E40" s="7"/>
      <c r="F40" s="7"/>
      <c r="G40" s="7"/>
      <c r="H40" s="7"/>
      <c r="I40" s="6" t="str">
        <f t="shared" si="40"/>
        <v/>
      </c>
      <c r="J40" s="6" t="str">
        <f t="shared" si="41"/>
        <v/>
      </c>
      <c r="K40" s="7"/>
      <c r="L40" s="53">
        <v>1</v>
      </c>
      <c r="M40" s="60" cm="1">
        <f t="array" ref="M40" xml:space="preserve">
_xlfn.LET(
_xlpm.Z, _xlfn._xlws.FILTER($DY$6:$EE$65,$DX$6:$DX$65=C40),
_xlpm.Q,_xlfn._xlws.FILTER($DP$6:$DV$65,$DO$6:$DO$65=C40),
IF($A40="x",SUMPRODUCT(_xlpm.Z,$DY$73:$EE$73,EH40:EN40),SUMPRODUCT(_xlpm.Q,$DP$73:$DV$73)))</f>
        <v>0</v>
      </c>
      <c r="N40" s="54" t="str" cm="1">
        <f t="array" ref="N40" xml:space="preserve">
_xlfn.LET(
_xlpm.Z, SUM(IF($A40="x",_xlfn._xlws.FILTER($M$6:$M$65,$A$6:$A$65="x"),_xlfn._xlws.FILTER($M$6:$M$65,$A$6:$A$65&lt;&gt;"x"))),
IF(_xlpm.Z&lt;&gt;0,M40/_xlpm.Z,""))</f>
        <v/>
      </c>
      <c r="O40" s="7"/>
      <c r="P40" s="53">
        <f t="shared" si="52"/>
        <v>1</v>
      </c>
      <c r="Q40" s="60" cm="1">
        <f t="array" ref="Q40" xml:space="preserve">
_xlfn.LET(
_xlpm.Z, _xlfn._xlws.FILTER($FA$6:$FG$65,$EZ$6:$EZ$65=C40),
_xlpm.Q,_xlfn._xlws.FILTER($ER$6:$EX$65,$EQ$6:$EQ$65=C40),
IF($A40="x",SUMPRODUCT(_xlpm.Z,$FA$73:$FG$73,FJ40:FP40),SUMPRODUCT(_xlpm.Q,$ER$73:$EX$73)))</f>
        <v>0</v>
      </c>
      <c r="R40" s="54" t="str" cm="1">
        <f t="array" ref="R40" xml:space="preserve">
_xlfn.LET(
_xlpm.Z, SUM(IF($A40="x",_xlfn._xlws.FILTER($Q$6:$Q$65,$A$6:$A$65="x"),_xlfn._xlws.FILTER($Q$6:$Q$65,$A$6:$A$65&lt;&gt;"x"))),
IF(_xlpm.Z&lt;&gt;0,Q40/_xlpm.Z,""))</f>
        <v/>
      </c>
      <c r="S40" s="7"/>
      <c r="T40" s="6"/>
      <c r="U40" s="6"/>
      <c r="V40" s="6"/>
      <c r="W40" s="6"/>
      <c r="X40" s="6"/>
      <c r="Y40" s="6"/>
      <c r="Z40" s="6"/>
      <c r="AA40" s="6"/>
      <c r="AB40" s="6"/>
      <c r="AC40" s="6"/>
      <c r="AD40" s="7"/>
      <c r="AE40" s="7"/>
      <c r="AF40" s="23" t="str">
        <f t="shared" si="67"/>
        <v/>
      </c>
      <c r="AG40" s="23" t="str">
        <f t="shared" si="67"/>
        <v/>
      </c>
      <c r="AH40" s="23" t="str">
        <f t="shared" si="67"/>
        <v/>
      </c>
      <c r="AI40" s="23" t="str">
        <f t="shared" si="67"/>
        <v/>
      </c>
      <c r="AJ40" s="23" t="str">
        <f t="shared" si="67"/>
        <v/>
      </c>
      <c r="AK40" s="23" t="str">
        <f t="shared" si="67"/>
        <v/>
      </c>
      <c r="AL40" s="23" t="str">
        <f t="shared" si="67"/>
        <v/>
      </c>
      <c r="AM40" s="23" t="str">
        <f t="shared" si="67"/>
        <v/>
      </c>
      <c r="AN40" s="23" t="str">
        <f t="shared" si="67"/>
        <v/>
      </c>
      <c r="AO40" s="23" t="str">
        <f t="shared" si="67"/>
        <v/>
      </c>
      <c r="AP40" s="23" t="str">
        <f t="shared" si="68"/>
        <v/>
      </c>
      <c r="AQ40" s="23" t="str">
        <f t="shared" si="68"/>
        <v/>
      </c>
      <c r="AR40" s="23" t="str">
        <f t="shared" si="68"/>
        <v/>
      </c>
      <c r="AS40" s="23" t="str">
        <f t="shared" si="68"/>
        <v/>
      </c>
      <c r="AT40" s="23" t="str">
        <f t="shared" si="68"/>
        <v/>
      </c>
      <c r="AU40" s="23" t="str">
        <f t="shared" si="68"/>
        <v/>
      </c>
      <c r="AV40" s="23" t="str">
        <f t="shared" si="68"/>
        <v/>
      </c>
      <c r="AW40" s="23" t="str">
        <f t="shared" si="68"/>
        <v/>
      </c>
      <c r="AX40" s="23" t="str">
        <f t="shared" si="68"/>
        <v/>
      </c>
      <c r="AY40" s="23" t="str">
        <f t="shared" si="68"/>
        <v/>
      </c>
      <c r="AZ40" s="23" t="str">
        <f t="shared" si="69"/>
        <v/>
      </c>
      <c r="BA40" s="23" t="str">
        <f t="shared" si="69"/>
        <v/>
      </c>
      <c r="BB40" s="23" t="str">
        <f t="shared" si="69"/>
        <v/>
      </c>
      <c r="BC40" s="23" t="str">
        <f t="shared" si="69"/>
        <v/>
      </c>
      <c r="BD40" s="23" t="str">
        <f t="shared" si="69"/>
        <v/>
      </c>
      <c r="BE40" s="23" t="str">
        <f t="shared" si="69"/>
        <v/>
      </c>
      <c r="BF40" s="23" t="str">
        <f t="shared" si="69"/>
        <v/>
      </c>
      <c r="BG40" s="23" t="str">
        <f t="shared" si="69"/>
        <v/>
      </c>
      <c r="BH40" s="23" t="str">
        <f t="shared" si="69"/>
        <v/>
      </c>
      <c r="BI40" s="23" t="str">
        <f t="shared" si="69"/>
        <v/>
      </c>
      <c r="BJ40" s="23" t="str">
        <f t="shared" si="70"/>
        <v/>
      </c>
      <c r="BK40" s="23" t="str">
        <f t="shared" si="70"/>
        <v/>
      </c>
      <c r="BL40" s="23" t="str">
        <f t="shared" si="70"/>
        <v/>
      </c>
      <c r="BM40" s="23" t="str">
        <f t="shared" si="70"/>
        <v/>
      </c>
      <c r="BN40" s="23" t="str">
        <f t="shared" si="70"/>
        <v/>
      </c>
      <c r="BO40" s="23" t="str">
        <f t="shared" si="70"/>
        <v/>
      </c>
      <c r="BP40" s="23" t="str">
        <f t="shared" si="70"/>
        <v/>
      </c>
      <c r="BQ40" s="23" t="str">
        <f t="shared" si="70"/>
        <v/>
      </c>
      <c r="BR40" s="23" t="str">
        <f t="shared" si="70"/>
        <v/>
      </c>
      <c r="BS40" s="23" t="str">
        <f t="shared" si="70"/>
        <v/>
      </c>
      <c r="BT40" s="23" t="str">
        <f t="shared" si="71"/>
        <v/>
      </c>
      <c r="BU40" s="23" t="str">
        <f t="shared" si="71"/>
        <v/>
      </c>
      <c r="BV40" s="23" t="str">
        <f t="shared" si="71"/>
        <v/>
      </c>
      <c r="BW40" s="23" t="str">
        <f t="shared" si="71"/>
        <v/>
      </c>
      <c r="BX40" s="23" t="str">
        <f t="shared" si="71"/>
        <v/>
      </c>
      <c r="BY40" s="23" t="str">
        <f t="shared" si="71"/>
        <v/>
      </c>
      <c r="BZ40" s="23" t="str">
        <f t="shared" si="71"/>
        <v/>
      </c>
      <c r="CA40" s="23" t="str">
        <f t="shared" si="71"/>
        <v/>
      </c>
      <c r="CB40" s="23" t="str">
        <f t="shared" si="71"/>
        <v/>
      </c>
      <c r="CC40" s="23" t="str">
        <f t="shared" si="71"/>
        <v/>
      </c>
      <c r="CD40" s="23" t="str">
        <f t="shared" si="72"/>
        <v/>
      </c>
      <c r="CE40" s="23" t="str">
        <f t="shared" si="72"/>
        <v/>
      </c>
      <c r="CF40" s="23" t="str">
        <f t="shared" si="72"/>
        <v/>
      </c>
      <c r="CG40" s="23" t="str">
        <f t="shared" si="72"/>
        <v/>
      </c>
      <c r="CH40" s="23" t="str">
        <f t="shared" si="72"/>
        <v/>
      </c>
      <c r="CI40" s="23" t="str">
        <f t="shared" si="72"/>
        <v/>
      </c>
      <c r="CJ40" s="23" t="str">
        <f t="shared" si="72"/>
        <v/>
      </c>
      <c r="CK40" s="23" t="str">
        <f t="shared" si="72"/>
        <v/>
      </c>
      <c r="CL40" s="23" t="str">
        <f t="shared" si="72"/>
        <v/>
      </c>
      <c r="CM40" s="23" t="str">
        <f t="shared" si="72"/>
        <v/>
      </c>
      <c r="CN40" s="23" t="str">
        <f t="shared" si="73"/>
        <v/>
      </c>
      <c r="CO40" s="23" t="str">
        <f t="shared" si="73"/>
        <v/>
      </c>
      <c r="CP40" s="23" t="str">
        <f t="shared" si="73"/>
        <v/>
      </c>
      <c r="CQ40" s="23" t="str">
        <f t="shared" si="73"/>
        <v/>
      </c>
      <c r="CR40" s="23" t="str">
        <f t="shared" si="73"/>
        <v/>
      </c>
      <c r="CS40" s="23" t="str">
        <f t="shared" si="73"/>
        <v/>
      </c>
      <c r="CT40" s="23" t="str">
        <f t="shared" si="73"/>
        <v/>
      </c>
      <c r="CU40" s="23" t="str">
        <f t="shared" si="73"/>
        <v/>
      </c>
      <c r="CV40" s="23" t="str">
        <f t="shared" si="73"/>
        <v/>
      </c>
      <c r="CW40" s="23" t="str">
        <f t="shared" si="73"/>
        <v/>
      </c>
      <c r="CX40" s="23" t="str">
        <f t="shared" si="73"/>
        <v/>
      </c>
      <c r="CY40" s="23" t="str">
        <f t="shared" si="73"/>
        <v/>
      </c>
      <c r="CZ40" s="23" t="str">
        <f t="shared" si="73"/>
        <v/>
      </c>
      <c r="DA40" s="23" t="str">
        <f t="shared" si="73"/>
        <v/>
      </c>
      <c r="DB40" s="23" t="str">
        <f t="shared" si="73"/>
        <v/>
      </c>
      <c r="DC40" s="23" t="str">
        <f t="shared" si="73"/>
        <v/>
      </c>
      <c r="DD40" s="23" t="str">
        <f t="shared" si="89"/>
        <v/>
      </c>
      <c r="DE40" s="23" t="str">
        <f t="shared" si="89"/>
        <v/>
      </c>
      <c r="DF40" s="23" t="str">
        <f t="shared" si="89"/>
        <v/>
      </c>
      <c r="DG40" s="23" t="str">
        <f t="shared" si="89"/>
        <v/>
      </c>
      <c r="DH40" s="23" t="str">
        <f t="shared" si="89"/>
        <v/>
      </c>
      <c r="DI40" s="23" t="str">
        <f t="shared" si="89"/>
        <v/>
      </c>
      <c r="DJ40" s="23" t="str">
        <f t="shared" si="89"/>
        <v/>
      </c>
      <c r="DK40" s="23" t="str">
        <f t="shared" si="89"/>
        <v/>
      </c>
      <c r="DO40" s="61">
        <f t="shared" si="53"/>
        <v>35</v>
      </c>
      <c r="DP40" s="61">
        <f>IF($A40&lt;&gt;"x",$L40*SUMIFS($AF40:$DK40,$AF$4:$DK$4,Jahresscheiben!C$2),0)</f>
        <v>0</v>
      </c>
      <c r="DQ40" s="61">
        <f>IF($A40&lt;&gt;"x",$L40*SUMIFS($AF40:$DK40,$AF$4:$DK$4,Jahresscheiben!D$2),0)</f>
        <v>0</v>
      </c>
      <c r="DR40" s="61">
        <f>IF($A40&lt;&gt;"x",$L40*SUMIFS($AF40:$DK40,$AF$4:$DK$4,Jahresscheiben!E$2),0)</f>
        <v>0</v>
      </c>
      <c r="DS40" s="61">
        <f>IF($A40&lt;&gt;"x",$L40*SUMIFS($AF40:$DK40,$AF$4:$DK$4,Jahresscheiben!F$2),0)</f>
        <v>0</v>
      </c>
      <c r="DT40" s="61">
        <f>IF($A40&lt;&gt;"x",$L40*SUMIFS($AF40:$DK40,$AF$4:$DK$4,Jahresscheiben!G$2),0)</f>
        <v>0</v>
      </c>
      <c r="DU40" s="61">
        <f>IF($A40&lt;&gt;"x",$L40*SUMIFS($AF40:$DK40,$AF$4:$DK$4,Jahresscheiben!H$2),0)</f>
        <v>0</v>
      </c>
      <c r="DV40" s="61">
        <f>IF($A40&lt;&gt;"x",$L40*SUMIFS($AF40:$DK40,$AF$4:$DK$4,Jahresscheiben!I$2),0)</f>
        <v>0</v>
      </c>
      <c r="DW40" s="85"/>
      <c r="DX40" s="61">
        <f t="shared" si="54"/>
        <v>35</v>
      </c>
      <c r="DY40" s="85">
        <f>IF($A40="x",$L40*SUMIFS($AF40:$DK40,$AF$4:$DK$4,Jahresscheiben!C$2)/2,0)</f>
        <v>0</v>
      </c>
      <c r="DZ40" s="85">
        <f>IF($A40="x",$L40*SUMIFS($AF40:$DK40,$AF$4:$DK$4,Jahresscheiben!D$2)/2,0)</f>
        <v>0</v>
      </c>
      <c r="EA40" s="85">
        <f>IF($A40="x",$L40*SUMIFS($AF40:$DK40,$AF$4:$DK$4,Jahresscheiben!E$2)/2,0)</f>
        <v>0</v>
      </c>
      <c r="EB40" s="85">
        <f>IF($A40="x",$L40*SUMIFS($AF40:$DK40,$AF$4:$DK$4,Jahresscheiben!F$2)/2,0)</f>
        <v>0</v>
      </c>
      <c r="EC40" s="85">
        <f>IF($A40="x",$L40*SUMIFS($AF40:$DK40,$AF$4:$DK$4,Jahresscheiben!G$2)/2,0)</f>
        <v>0</v>
      </c>
      <c r="ED40" s="85">
        <f>IF($A40="x",$L40*SUMIFS($AF40:$DK40,$AF$4:$DK$4,Jahresscheiben!H$2)/2,0)</f>
        <v>0</v>
      </c>
      <c r="EE40" s="85">
        <f>IF($A40="x",$L40*SUMIFS($AF40:$DK40,$AF$4:$DK$4,Jahresscheiben!I$2)/2,0)</f>
        <v>0</v>
      </c>
      <c r="EF40" s="85"/>
      <c r="EG40" s="61">
        <f t="shared" si="55"/>
        <v>35</v>
      </c>
      <c r="EH40" s="85" cm="1">
        <f t="array" ref="EH4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40" s="85" cm="1">
        <f t="array" ref="EI4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40" s="85" cm="1">
        <f t="array" ref="EJ4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40" s="85" cm="1">
        <f t="array" ref="EK4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40" s="85" cm="1">
        <f t="array" ref="EL4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40" s="85" cm="1">
        <f t="array" ref="EM4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40" s="85" cm="1">
        <f t="array" ref="EN4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40" s="85"/>
      <c r="EQ40" s="61">
        <f t="shared" si="56"/>
        <v>35</v>
      </c>
      <c r="ER40" s="62">
        <f>IF($A40&lt;&gt;"x",$P40*SUMIFS($AF40:$DK40,$AF$4:$DK$4,Jahresscheiben!C$2),0)</f>
        <v>0</v>
      </c>
      <c r="ES40" s="62">
        <f>IF($A40&lt;&gt;"x",$P40*SUMIFS($AF40:$DK40,$AF$4:$DK$4,Jahresscheiben!D$2),0)</f>
        <v>0</v>
      </c>
      <c r="ET40" s="62">
        <f>IF($A40&lt;&gt;"x",$P40*SUMIFS($AF40:$DK40,$AF$4:$DK$4,Jahresscheiben!E$2),0)</f>
        <v>0</v>
      </c>
      <c r="EU40" s="62">
        <f>IF($A40&lt;&gt;"x",$P40*SUMIFS($AF40:$DK40,$AF$4:$DK$4,Jahresscheiben!F$2),0)</f>
        <v>0</v>
      </c>
      <c r="EV40" s="62">
        <f>IF($A40&lt;&gt;"x",$P40*SUMIFS($AF40:$DK40,$AF$4:$DK$4,Jahresscheiben!G$2),0)</f>
        <v>0</v>
      </c>
      <c r="EW40" s="62">
        <f>IF($A40&lt;&gt;"x",$P40*SUMIFS($AF40:$DK40,$AF$4:$DK$4,Jahresscheiben!H$2),0)</f>
        <v>0</v>
      </c>
      <c r="EX40" s="62">
        <f>IF($A40&lt;&gt;"x",$P40*SUMIFS($AF40:$DK40,$AF$4:$DK$4,Jahresscheiben!I$2),0)</f>
        <v>0</v>
      </c>
      <c r="EY40" s="85"/>
      <c r="EZ40" s="61">
        <f t="shared" si="57"/>
        <v>35</v>
      </c>
      <c r="FA40" s="85">
        <f>IF($A40="x",$P40*SUMIFS($AF40:$DK40,$AF$4:$DK$4,Jahresscheiben!C$2)/2,0)</f>
        <v>0</v>
      </c>
      <c r="FB40" s="85">
        <f>IF($A40="x",$P40*SUMIFS($AF40:$DK40,$AF$4:$DK$4,Jahresscheiben!D$2)/2,0)</f>
        <v>0</v>
      </c>
      <c r="FC40" s="85">
        <f>IF($A40="x",$P40*SUMIFS($AF40:$DK40,$AF$4:$DK$4,Jahresscheiben!E$2)/2,0)</f>
        <v>0</v>
      </c>
      <c r="FD40" s="85">
        <f>IF($A40="x",$P40*SUMIFS($AF40:$DK40,$AF$4:$DK$4,Jahresscheiben!F$2)/2,0)</f>
        <v>0</v>
      </c>
      <c r="FE40" s="85">
        <f>IF($A40="x",$P40*SUMIFS($AF40:$DK40,$AF$4:$DK$4,Jahresscheiben!G$2)/2,0)</f>
        <v>0</v>
      </c>
      <c r="FF40" s="85">
        <f>IF($A40="x",$P40*SUMIFS($AF40:$DK40,$AF$4:$DK$4,Jahresscheiben!H$2)/2,0)</f>
        <v>0</v>
      </c>
      <c r="FG40" s="85">
        <f>IF($A40="x",$P40*SUMIFS($AF40:$DK40,$AF$4:$DK$4,Jahresscheiben!I$2)/2,0)</f>
        <v>0</v>
      </c>
      <c r="FH40" s="85"/>
      <c r="FI40" s="61">
        <f t="shared" si="58"/>
        <v>35</v>
      </c>
      <c r="FJ40" s="85" cm="1">
        <f t="array" ref="FJ4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40" s="85" cm="1">
        <f t="array" ref="FK4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40" s="85" cm="1">
        <f t="array" ref="FL4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40" s="85" cm="1">
        <f t="array" ref="FM4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40" s="85" cm="1">
        <f t="array" ref="FN4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40" s="85" cm="1">
        <f t="array" ref="FO4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40" s="85" cm="1">
        <f t="array" ref="FP4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41" spans="1:172" ht="17" hidden="1" customHeight="1" thickBot="1" x14ac:dyDescent="0.55000000000000004">
      <c r="A41" s="30" t="s">
        <v>24</v>
      </c>
      <c r="B41" s="31">
        <f t="shared" ref="B41:B46" si="90">LEN(D41)</f>
        <v>0</v>
      </c>
      <c r="C41" s="22">
        <f t="shared" si="51"/>
        <v>36</v>
      </c>
      <c r="D41" s="71"/>
      <c r="E41" s="26"/>
      <c r="F41" s="26"/>
      <c r="G41" s="26"/>
      <c r="H41" s="26"/>
      <c r="I41" s="6" t="str">
        <f t="shared" ref="I41:I46" si="91">IF(F41=0,"",EOMONTH(Project_Start,F41-1))</f>
        <v/>
      </c>
      <c r="J41" s="6" t="str">
        <f t="shared" ref="J41:J46" si="92">IF(G41=0,"",EOMONTH(Project_Start,G41-1))</f>
        <v/>
      </c>
      <c r="K41" s="26"/>
      <c r="L41" s="53">
        <v>1</v>
      </c>
      <c r="M41" s="60" cm="1">
        <f t="array" ref="M41" xml:space="preserve">
_xlfn.LET(
_xlpm.Z, _xlfn._xlws.FILTER($DY$6:$EE$65,$DX$6:$DX$65=C41),
_xlpm.Q,_xlfn._xlws.FILTER($DP$6:$DV$65,$DO$6:$DO$65=C41),
IF($A41="x",SUMPRODUCT(_xlpm.Z,$DY$73:$EE$73,EH41:EN41),SUMPRODUCT(_xlpm.Q,$DP$73:$DV$73)))</f>
        <v>0</v>
      </c>
      <c r="N41" s="54" t="str" cm="1">
        <f t="array" ref="N41" xml:space="preserve">
_xlfn.LET(
_xlpm.Z, SUM(IF($A41="x",_xlfn._xlws.FILTER($M$6:$M$65,$A$6:$A$65="x"),_xlfn._xlws.FILTER($M$6:$M$65,$A$6:$A$65&lt;&gt;"x"))),
IF(_xlpm.Z&lt;&gt;0,M41/_xlpm.Z,""))</f>
        <v/>
      </c>
      <c r="O41" s="26"/>
      <c r="P41" s="53">
        <f t="shared" ref="P41:P46" si="93">L41</f>
        <v>1</v>
      </c>
      <c r="Q41" s="60" cm="1">
        <f t="array" ref="Q41" xml:space="preserve">
_xlfn.LET(
_xlpm.Z, _xlfn._xlws.FILTER($FA$6:$FG$65,$EZ$6:$EZ$65=C41),
_xlpm.Q,_xlfn._xlws.FILTER($ER$6:$EX$65,$EQ$6:$EQ$65=C41),
IF($A41="x",SUMPRODUCT(_xlpm.Z,$FA$73:$FG$73,FJ41:FP41),SUMPRODUCT(_xlpm.Q,$ER$73:$EX$73)))</f>
        <v>0</v>
      </c>
      <c r="R41" s="54" t="str" cm="1">
        <f t="array" ref="R41" xml:space="preserve">
_xlfn.LET(
_xlpm.Z, SUM(IF($A41="x",_xlfn._xlws.FILTER($Q$6:$Q$65,$A$6:$A$65="x"),_xlfn._xlws.FILTER($Q$6:$Q$65,$A$6:$A$65&lt;&gt;"x"))),
IF(_xlpm.Z&lt;&gt;0,Q41/_xlpm.Z,""))</f>
        <v/>
      </c>
      <c r="S41" s="26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8"/>
      <c r="AE41" s="28"/>
      <c r="AF41" s="23" t="str">
        <f t="shared" si="67"/>
        <v/>
      </c>
      <c r="AG41" s="23" t="str">
        <f t="shared" si="67"/>
        <v/>
      </c>
      <c r="AH41" s="23" t="str">
        <f t="shared" si="67"/>
        <v/>
      </c>
      <c r="AI41" s="23" t="str">
        <f t="shared" si="67"/>
        <v/>
      </c>
      <c r="AJ41" s="23" t="str">
        <f t="shared" si="67"/>
        <v/>
      </c>
      <c r="AK41" s="23" t="str">
        <f t="shared" si="67"/>
        <v/>
      </c>
      <c r="AL41" s="23" t="str">
        <f t="shared" si="67"/>
        <v/>
      </c>
      <c r="AM41" s="23" t="str">
        <f t="shared" si="67"/>
        <v/>
      </c>
      <c r="AN41" s="23" t="str">
        <f t="shared" si="67"/>
        <v/>
      </c>
      <c r="AO41" s="23" t="str">
        <f t="shared" si="67"/>
        <v/>
      </c>
      <c r="AP41" s="23" t="str">
        <f t="shared" si="68"/>
        <v/>
      </c>
      <c r="AQ41" s="23" t="str">
        <f t="shared" si="68"/>
        <v/>
      </c>
      <c r="AR41" s="23" t="str">
        <f t="shared" si="68"/>
        <v/>
      </c>
      <c r="AS41" s="23" t="str">
        <f t="shared" si="68"/>
        <v/>
      </c>
      <c r="AT41" s="23" t="str">
        <f t="shared" si="68"/>
        <v/>
      </c>
      <c r="AU41" s="23" t="str">
        <f t="shared" si="68"/>
        <v/>
      </c>
      <c r="AV41" s="23" t="str">
        <f t="shared" si="68"/>
        <v/>
      </c>
      <c r="AW41" s="23" t="str">
        <f t="shared" si="68"/>
        <v/>
      </c>
      <c r="AX41" s="23" t="str">
        <f t="shared" si="68"/>
        <v/>
      </c>
      <c r="AY41" s="23" t="str">
        <f t="shared" si="68"/>
        <v/>
      </c>
      <c r="AZ41" s="23" t="str">
        <f t="shared" si="69"/>
        <v/>
      </c>
      <c r="BA41" s="23" t="str">
        <f t="shared" si="69"/>
        <v/>
      </c>
      <c r="BB41" s="23" t="str">
        <f t="shared" si="69"/>
        <v/>
      </c>
      <c r="BC41" s="23" t="str">
        <f t="shared" si="69"/>
        <v/>
      </c>
      <c r="BD41" s="23" t="str">
        <f t="shared" si="69"/>
        <v/>
      </c>
      <c r="BE41" s="23" t="str">
        <f t="shared" si="69"/>
        <v/>
      </c>
      <c r="BF41" s="23" t="str">
        <f t="shared" si="69"/>
        <v/>
      </c>
      <c r="BG41" s="23" t="str">
        <f t="shared" si="69"/>
        <v/>
      </c>
      <c r="BH41" s="23" t="str">
        <f t="shared" si="69"/>
        <v/>
      </c>
      <c r="BI41" s="23" t="str">
        <f t="shared" si="69"/>
        <v/>
      </c>
      <c r="BJ41" s="23" t="str">
        <f t="shared" si="70"/>
        <v/>
      </c>
      <c r="BK41" s="23" t="str">
        <f t="shared" si="70"/>
        <v/>
      </c>
      <c r="BL41" s="23" t="str">
        <f t="shared" si="70"/>
        <v/>
      </c>
      <c r="BM41" s="23" t="str">
        <f t="shared" si="70"/>
        <v/>
      </c>
      <c r="BN41" s="23" t="str">
        <f t="shared" si="70"/>
        <v/>
      </c>
      <c r="BO41" s="23" t="str">
        <f t="shared" si="70"/>
        <v/>
      </c>
      <c r="BP41" s="23" t="str">
        <f t="shared" si="70"/>
        <v/>
      </c>
      <c r="BQ41" s="23" t="str">
        <f t="shared" si="70"/>
        <v/>
      </c>
      <c r="BR41" s="23" t="str">
        <f t="shared" si="70"/>
        <v/>
      </c>
      <c r="BS41" s="23" t="str">
        <f t="shared" si="70"/>
        <v/>
      </c>
      <c r="BT41" s="23" t="str">
        <f t="shared" si="71"/>
        <v/>
      </c>
      <c r="BU41" s="23" t="str">
        <f t="shared" si="71"/>
        <v/>
      </c>
      <c r="BV41" s="23" t="str">
        <f t="shared" si="71"/>
        <v/>
      </c>
      <c r="BW41" s="23" t="str">
        <f t="shared" si="71"/>
        <v/>
      </c>
      <c r="BX41" s="23" t="str">
        <f t="shared" si="71"/>
        <v/>
      </c>
      <c r="BY41" s="23" t="str">
        <f t="shared" si="71"/>
        <v/>
      </c>
      <c r="BZ41" s="23" t="str">
        <f t="shared" si="71"/>
        <v/>
      </c>
      <c r="CA41" s="23" t="str">
        <f t="shared" si="71"/>
        <v/>
      </c>
      <c r="CB41" s="23" t="str">
        <f t="shared" si="71"/>
        <v/>
      </c>
      <c r="CC41" s="23" t="str">
        <f t="shared" si="71"/>
        <v/>
      </c>
      <c r="CD41" s="23" t="str">
        <f t="shared" si="72"/>
        <v/>
      </c>
      <c r="CE41" s="23" t="str">
        <f t="shared" si="72"/>
        <v/>
      </c>
      <c r="CF41" s="23" t="str">
        <f t="shared" si="72"/>
        <v/>
      </c>
      <c r="CG41" s="23" t="str">
        <f t="shared" si="72"/>
        <v/>
      </c>
      <c r="CH41" s="23" t="str">
        <f t="shared" si="72"/>
        <v/>
      </c>
      <c r="CI41" s="23" t="str">
        <f t="shared" si="72"/>
        <v/>
      </c>
      <c r="CJ41" s="23" t="str">
        <f t="shared" si="72"/>
        <v/>
      </c>
      <c r="CK41" s="23" t="str">
        <f t="shared" si="72"/>
        <v/>
      </c>
      <c r="CL41" s="23" t="str">
        <f t="shared" si="72"/>
        <v/>
      </c>
      <c r="CM41" s="23" t="str">
        <f t="shared" si="72"/>
        <v/>
      </c>
      <c r="CN41" s="23" t="str">
        <f t="shared" si="73"/>
        <v/>
      </c>
      <c r="CO41" s="23" t="str">
        <f t="shared" si="73"/>
        <v/>
      </c>
      <c r="CP41" s="23" t="str">
        <f t="shared" si="73"/>
        <v/>
      </c>
      <c r="CQ41" s="23" t="str">
        <f t="shared" si="73"/>
        <v/>
      </c>
      <c r="CR41" s="23" t="str">
        <f t="shared" si="73"/>
        <v/>
      </c>
      <c r="CS41" s="23" t="str">
        <f t="shared" si="73"/>
        <v/>
      </c>
      <c r="CT41" s="23" t="str">
        <f t="shared" si="73"/>
        <v/>
      </c>
      <c r="CU41" s="23" t="str">
        <f t="shared" si="73"/>
        <v/>
      </c>
      <c r="CV41" s="23" t="str">
        <f t="shared" si="73"/>
        <v/>
      </c>
      <c r="CW41" s="23" t="str">
        <f t="shared" si="73"/>
        <v/>
      </c>
      <c r="CX41" s="23" t="str">
        <f t="shared" si="74"/>
        <v/>
      </c>
      <c r="CY41" s="23" t="str">
        <f t="shared" si="74"/>
        <v/>
      </c>
      <c r="CZ41" s="23" t="str">
        <f t="shared" si="74"/>
        <v/>
      </c>
      <c r="DA41" s="23" t="str">
        <f t="shared" si="74"/>
        <v/>
      </c>
      <c r="DB41" s="23" t="str">
        <f t="shared" si="74"/>
        <v/>
      </c>
      <c r="DC41" s="23" t="str">
        <f t="shared" si="74"/>
        <v/>
      </c>
      <c r="DD41" s="23" t="str">
        <f t="shared" si="74"/>
        <v/>
      </c>
      <c r="DE41" s="23" t="str">
        <f t="shared" si="74"/>
        <v/>
      </c>
      <c r="DF41" s="23" t="str">
        <f t="shared" si="74"/>
        <v/>
      </c>
      <c r="DG41" s="23" t="str">
        <f t="shared" si="74"/>
        <v/>
      </c>
      <c r="DH41" s="23" t="str">
        <f t="shared" si="74"/>
        <v/>
      </c>
      <c r="DI41" s="23" t="str">
        <f t="shared" si="74"/>
        <v/>
      </c>
      <c r="DJ41" s="23" t="str">
        <f t="shared" si="74"/>
        <v/>
      </c>
      <c r="DK41" s="23" t="str">
        <f t="shared" si="74"/>
        <v/>
      </c>
      <c r="DO41" s="61">
        <f t="shared" si="53"/>
        <v>36</v>
      </c>
      <c r="DP41" s="61">
        <f>IF($A41&lt;&gt;"x",$L41*SUMIFS($AF41:$DK41,$AF$4:$DK$4,Jahresscheiben!C$2),0)</f>
        <v>0</v>
      </c>
      <c r="DQ41" s="61">
        <f>IF($A41&lt;&gt;"x",$L41*SUMIFS($AF41:$DK41,$AF$4:$DK$4,Jahresscheiben!D$2),0)</f>
        <v>0</v>
      </c>
      <c r="DR41" s="61">
        <f>IF($A41&lt;&gt;"x",$L41*SUMIFS($AF41:$DK41,$AF$4:$DK$4,Jahresscheiben!E$2),0)</f>
        <v>0</v>
      </c>
      <c r="DS41" s="61">
        <f>IF($A41&lt;&gt;"x",$L41*SUMIFS($AF41:$DK41,$AF$4:$DK$4,Jahresscheiben!F$2),0)</f>
        <v>0</v>
      </c>
      <c r="DT41" s="61">
        <f>IF($A41&lt;&gt;"x",$L41*SUMIFS($AF41:$DK41,$AF$4:$DK$4,Jahresscheiben!G$2),0)</f>
        <v>0</v>
      </c>
      <c r="DU41" s="61">
        <f>IF($A41&lt;&gt;"x",$L41*SUMIFS($AF41:$DK41,$AF$4:$DK$4,Jahresscheiben!H$2),0)</f>
        <v>0</v>
      </c>
      <c r="DV41" s="61">
        <f>IF($A41&lt;&gt;"x",$L41*SUMIFS($AF41:$DK41,$AF$4:$DK$4,Jahresscheiben!I$2),0)</f>
        <v>0</v>
      </c>
      <c r="DW41" s="85"/>
      <c r="DX41" s="61">
        <f t="shared" si="54"/>
        <v>36</v>
      </c>
      <c r="DY41" s="85">
        <f>IF($A41="x",$L41*SUMIFS($AF41:$DK41,$AF$4:$DK$4,Jahresscheiben!C$2)/2,0)</f>
        <v>0</v>
      </c>
      <c r="DZ41" s="85">
        <f>IF($A41="x",$L41*SUMIFS($AF41:$DK41,$AF$4:$DK$4,Jahresscheiben!D$2)/2,0)</f>
        <v>0</v>
      </c>
      <c r="EA41" s="85">
        <f>IF($A41="x",$L41*SUMIFS($AF41:$DK41,$AF$4:$DK$4,Jahresscheiben!E$2)/2,0)</f>
        <v>0</v>
      </c>
      <c r="EB41" s="85">
        <f>IF($A41="x",$L41*SUMIFS($AF41:$DK41,$AF$4:$DK$4,Jahresscheiben!F$2)/2,0)</f>
        <v>0</v>
      </c>
      <c r="EC41" s="85">
        <f>IF($A41="x",$L41*SUMIFS($AF41:$DK41,$AF$4:$DK$4,Jahresscheiben!G$2)/2,0)</f>
        <v>0</v>
      </c>
      <c r="ED41" s="85">
        <f>IF($A41="x",$L41*SUMIFS($AF41:$DK41,$AF$4:$DK$4,Jahresscheiben!H$2)/2,0)</f>
        <v>0</v>
      </c>
      <c r="EE41" s="85">
        <f>IF($A41="x",$L41*SUMIFS($AF41:$DK41,$AF$4:$DK$4,Jahresscheiben!I$2)/2,0)</f>
        <v>0</v>
      </c>
      <c r="EF41" s="85"/>
      <c r="EG41" s="61">
        <f t="shared" si="55"/>
        <v>36</v>
      </c>
      <c r="EH41" s="85" cm="1">
        <f t="array" ref="EH4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41" s="85" cm="1">
        <f t="array" ref="EI4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41" s="85" cm="1">
        <f t="array" ref="EJ4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41" s="85" cm="1">
        <f t="array" ref="EK4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41" s="85" cm="1">
        <f t="array" ref="EL4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41" s="85" cm="1">
        <f t="array" ref="EM4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41" s="85" cm="1">
        <f t="array" ref="EN4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41" s="85"/>
      <c r="EQ41" s="61">
        <f t="shared" si="56"/>
        <v>36</v>
      </c>
      <c r="ER41" s="62">
        <f>IF($A41&lt;&gt;"x",$P41*SUMIFS($AF41:$DK41,$AF$4:$DK$4,Jahresscheiben!C$2),0)</f>
        <v>0</v>
      </c>
      <c r="ES41" s="62">
        <f>IF($A41&lt;&gt;"x",$P41*SUMIFS($AF41:$DK41,$AF$4:$DK$4,Jahresscheiben!D$2),0)</f>
        <v>0</v>
      </c>
      <c r="ET41" s="62">
        <f>IF($A41&lt;&gt;"x",$P41*SUMIFS($AF41:$DK41,$AF$4:$DK$4,Jahresscheiben!E$2),0)</f>
        <v>0</v>
      </c>
      <c r="EU41" s="62">
        <f>IF($A41&lt;&gt;"x",$P41*SUMIFS($AF41:$DK41,$AF$4:$DK$4,Jahresscheiben!F$2),0)</f>
        <v>0</v>
      </c>
      <c r="EV41" s="62">
        <f>IF($A41&lt;&gt;"x",$P41*SUMIFS($AF41:$DK41,$AF$4:$DK$4,Jahresscheiben!G$2),0)</f>
        <v>0</v>
      </c>
      <c r="EW41" s="62">
        <f>IF($A41&lt;&gt;"x",$P41*SUMIFS($AF41:$DK41,$AF$4:$DK$4,Jahresscheiben!H$2),0)</f>
        <v>0</v>
      </c>
      <c r="EX41" s="62">
        <f>IF($A41&lt;&gt;"x",$P41*SUMIFS($AF41:$DK41,$AF$4:$DK$4,Jahresscheiben!I$2),0)</f>
        <v>0</v>
      </c>
      <c r="EY41" s="85"/>
      <c r="EZ41" s="61">
        <f t="shared" si="57"/>
        <v>36</v>
      </c>
      <c r="FA41" s="85">
        <f>IF($A41="x",$P41*SUMIFS($AF41:$DK41,$AF$4:$DK$4,Jahresscheiben!C$2)/2,0)</f>
        <v>0</v>
      </c>
      <c r="FB41" s="85">
        <f>IF($A41="x",$P41*SUMIFS($AF41:$DK41,$AF$4:$DK$4,Jahresscheiben!D$2)/2,0)</f>
        <v>0</v>
      </c>
      <c r="FC41" s="85">
        <f>IF($A41="x",$P41*SUMIFS($AF41:$DK41,$AF$4:$DK$4,Jahresscheiben!E$2)/2,0)</f>
        <v>0</v>
      </c>
      <c r="FD41" s="85">
        <f>IF($A41="x",$P41*SUMIFS($AF41:$DK41,$AF$4:$DK$4,Jahresscheiben!F$2)/2,0)</f>
        <v>0</v>
      </c>
      <c r="FE41" s="85">
        <f>IF($A41="x",$P41*SUMIFS($AF41:$DK41,$AF$4:$DK$4,Jahresscheiben!G$2)/2,0)</f>
        <v>0</v>
      </c>
      <c r="FF41" s="85">
        <f>IF($A41="x",$P41*SUMIFS($AF41:$DK41,$AF$4:$DK$4,Jahresscheiben!H$2)/2,0)</f>
        <v>0</v>
      </c>
      <c r="FG41" s="85">
        <f>IF($A41="x",$P41*SUMIFS($AF41:$DK41,$AF$4:$DK$4,Jahresscheiben!I$2)/2,0)</f>
        <v>0</v>
      </c>
      <c r="FH41" s="85"/>
      <c r="FI41" s="61">
        <f t="shared" si="58"/>
        <v>36</v>
      </c>
      <c r="FJ41" s="85" cm="1">
        <f t="array" ref="FJ4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41" s="85" cm="1">
        <f t="array" ref="FK4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41" s="85" cm="1">
        <f t="array" ref="FL4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41" s="85" cm="1">
        <f t="array" ref="FM4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41" s="85" cm="1">
        <f t="array" ref="FN4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41" s="85" cm="1">
        <f t="array" ref="FO4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41" s="85" cm="1">
        <f t="array" ref="FP4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42" spans="1:172" ht="17" hidden="1" customHeight="1" thickBot="1" x14ac:dyDescent="0.55000000000000004">
      <c r="A42" s="29" t="s">
        <v>24</v>
      </c>
      <c r="B42" s="31">
        <f t="shared" si="90"/>
        <v>0</v>
      </c>
      <c r="C42" s="22">
        <f t="shared" si="51"/>
        <v>37</v>
      </c>
      <c r="D42" s="71"/>
      <c r="E42" s="7"/>
      <c r="F42" s="7"/>
      <c r="G42" s="7"/>
      <c r="H42" s="7"/>
      <c r="I42" s="6" t="str">
        <f t="shared" si="91"/>
        <v/>
      </c>
      <c r="J42" s="6" t="str">
        <f t="shared" si="92"/>
        <v/>
      </c>
      <c r="K42" s="7"/>
      <c r="L42" s="53">
        <v>1</v>
      </c>
      <c r="M42" s="60" cm="1">
        <f t="array" ref="M42" xml:space="preserve">
_xlfn.LET(
_xlpm.Z, _xlfn._xlws.FILTER($DY$6:$EE$65,$DX$6:$DX$65=C42),
_xlpm.Q,_xlfn._xlws.FILTER($DP$6:$DV$65,$DO$6:$DO$65=C42),
IF($A42="x",SUMPRODUCT(_xlpm.Z,$DY$73:$EE$73,EH42:EN42),SUMPRODUCT(_xlpm.Q,$DP$73:$DV$73)))</f>
        <v>0</v>
      </c>
      <c r="N42" s="54" t="str" cm="1">
        <f t="array" ref="N42" xml:space="preserve">
_xlfn.LET(
_xlpm.Z, SUM(IF($A42="x",_xlfn._xlws.FILTER($M$6:$M$65,$A$6:$A$65="x"),_xlfn._xlws.FILTER($M$6:$M$65,$A$6:$A$65&lt;&gt;"x"))),
IF(_xlpm.Z&lt;&gt;0,M42/_xlpm.Z,""))</f>
        <v/>
      </c>
      <c r="O42" s="7"/>
      <c r="P42" s="53">
        <f t="shared" si="93"/>
        <v>1</v>
      </c>
      <c r="Q42" s="60" cm="1">
        <f t="array" ref="Q42" xml:space="preserve">
_xlfn.LET(
_xlpm.Z, _xlfn._xlws.FILTER($FA$6:$FG$65,$EZ$6:$EZ$65=C42),
_xlpm.Q,_xlfn._xlws.FILTER($ER$6:$EX$65,$EQ$6:$EQ$65=C42),
IF($A42="x",SUMPRODUCT(_xlpm.Z,$FA$73:$FG$73,FJ42:FP42),SUMPRODUCT(_xlpm.Q,$ER$73:$EX$73)))</f>
        <v>0</v>
      </c>
      <c r="R42" s="54" t="str" cm="1">
        <f t="array" ref="R42" xml:space="preserve">
_xlfn.LET(
_xlpm.Z, SUM(IF($A42="x",_xlfn._xlws.FILTER($Q$6:$Q$65,$A$6:$A$65="x"),_xlfn._xlws.FILTER($Q$6:$Q$65,$A$6:$A$65&lt;&gt;"x"))),
IF(_xlpm.Z&lt;&gt;0,Q42/_xlpm.Z,""))</f>
        <v/>
      </c>
      <c r="S42" s="7"/>
      <c r="T42" s="6"/>
      <c r="U42" s="6"/>
      <c r="V42" s="6"/>
      <c r="W42" s="6"/>
      <c r="X42" s="6"/>
      <c r="Y42" s="6"/>
      <c r="Z42" s="6"/>
      <c r="AA42" s="6"/>
      <c r="AB42" s="6"/>
      <c r="AC42" s="6"/>
      <c r="AD42" s="7"/>
      <c r="AE42" s="7"/>
      <c r="AF42" s="23" t="str">
        <f t="shared" si="67"/>
        <v/>
      </c>
      <c r="AG42" s="23" t="str">
        <f t="shared" si="67"/>
        <v/>
      </c>
      <c r="AH42" s="23" t="str">
        <f t="shared" si="67"/>
        <v/>
      </c>
      <c r="AI42" s="23" t="str">
        <f t="shared" si="67"/>
        <v/>
      </c>
      <c r="AJ42" s="23" t="str">
        <f t="shared" si="67"/>
        <v/>
      </c>
      <c r="AK42" s="23" t="str">
        <f t="shared" si="67"/>
        <v/>
      </c>
      <c r="AL42" s="23" t="str">
        <f t="shared" si="67"/>
        <v/>
      </c>
      <c r="AM42" s="23" t="str">
        <f t="shared" si="67"/>
        <v/>
      </c>
      <c r="AN42" s="23" t="str">
        <f t="shared" si="67"/>
        <v/>
      </c>
      <c r="AO42" s="23" t="str">
        <f t="shared" si="67"/>
        <v/>
      </c>
      <c r="AP42" s="23" t="str">
        <f t="shared" si="68"/>
        <v/>
      </c>
      <c r="AQ42" s="23" t="str">
        <f t="shared" si="68"/>
        <v/>
      </c>
      <c r="AR42" s="23" t="str">
        <f t="shared" si="68"/>
        <v/>
      </c>
      <c r="AS42" s="23" t="str">
        <f t="shared" si="68"/>
        <v/>
      </c>
      <c r="AT42" s="23" t="str">
        <f t="shared" si="68"/>
        <v/>
      </c>
      <c r="AU42" s="23" t="str">
        <f t="shared" si="68"/>
        <v/>
      </c>
      <c r="AV42" s="23" t="str">
        <f t="shared" si="68"/>
        <v/>
      </c>
      <c r="AW42" s="23" t="str">
        <f t="shared" si="68"/>
        <v/>
      </c>
      <c r="AX42" s="23" t="str">
        <f t="shared" si="68"/>
        <v/>
      </c>
      <c r="AY42" s="23" t="str">
        <f t="shared" si="68"/>
        <v/>
      </c>
      <c r="AZ42" s="23" t="str">
        <f t="shared" si="69"/>
        <v/>
      </c>
      <c r="BA42" s="23" t="str">
        <f t="shared" si="69"/>
        <v/>
      </c>
      <c r="BB42" s="23" t="str">
        <f t="shared" si="69"/>
        <v/>
      </c>
      <c r="BC42" s="23" t="str">
        <f t="shared" si="69"/>
        <v/>
      </c>
      <c r="BD42" s="23" t="str">
        <f t="shared" si="69"/>
        <v/>
      </c>
      <c r="BE42" s="23" t="str">
        <f t="shared" si="69"/>
        <v/>
      </c>
      <c r="BF42" s="23" t="str">
        <f t="shared" si="69"/>
        <v/>
      </c>
      <c r="BG42" s="23" t="str">
        <f t="shared" si="69"/>
        <v/>
      </c>
      <c r="BH42" s="23" t="str">
        <f t="shared" si="69"/>
        <v/>
      </c>
      <c r="BI42" s="23" t="str">
        <f t="shared" si="69"/>
        <v/>
      </c>
      <c r="BJ42" s="23" t="str">
        <f t="shared" si="70"/>
        <v/>
      </c>
      <c r="BK42" s="23" t="str">
        <f t="shared" si="70"/>
        <v/>
      </c>
      <c r="BL42" s="23" t="str">
        <f t="shared" si="70"/>
        <v/>
      </c>
      <c r="BM42" s="23" t="str">
        <f t="shared" si="70"/>
        <v/>
      </c>
      <c r="BN42" s="23" t="str">
        <f t="shared" si="70"/>
        <v/>
      </c>
      <c r="BO42" s="23" t="str">
        <f t="shared" si="70"/>
        <v/>
      </c>
      <c r="BP42" s="23" t="str">
        <f t="shared" si="70"/>
        <v/>
      </c>
      <c r="BQ42" s="23" t="str">
        <f t="shared" si="70"/>
        <v/>
      </c>
      <c r="BR42" s="23" t="str">
        <f t="shared" si="70"/>
        <v/>
      </c>
      <c r="BS42" s="23" t="str">
        <f t="shared" si="70"/>
        <v/>
      </c>
      <c r="BT42" s="23" t="str">
        <f t="shared" si="71"/>
        <v/>
      </c>
      <c r="BU42" s="23" t="str">
        <f t="shared" si="71"/>
        <v/>
      </c>
      <c r="BV42" s="23" t="str">
        <f t="shared" si="71"/>
        <v/>
      </c>
      <c r="BW42" s="23" t="str">
        <f t="shared" si="71"/>
        <v/>
      </c>
      <c r="BX42" s="23" t="str">
        <f t="shared" si="71"/>
        <v/>
      </c>
      <c r="BY42" s="23" t="str">
        <f t="shared" si="71"/>
        <v/>
      </c>
      <c r="BZ42" s="23" t="str">
        <f t="shared" si="71"/>
        <v/>
      </c>
      <c r="CA42" s="23" t="str">
        <f t="shared" si="71"/>
        <v/>
      </c>
      <c r="CB42" s="23" t="str">
        <f t="shared" si="71"/>
        <v/>
      </c>
      <c r="CC42" s="23" t="str">
        <f t="shared" si="71"/>
        <v/>
      </c>
      <c r="CD42" s="23" t="str">
        <f t="shared" si="72"/>
        <v/>
      </c>
      <c r="CE42" s="23" t="str">
        <f t="shared" si="72"/>
        <v/>
      </c>
      <c r="CF42" s="23" t="str">
        <f t="shared" si="72"/>
        <v/>
      </c>
      <c r="CG42" s="23" t="str">
        <f t="shared" si="72"/>
        <v/>
      </c>
      <c r="CH42" s="23" t="str">
        <f t="shared" si="72"/>
        <v/>
      </c>
      <c r="CI42" s="23" t="str">
        <f t="shared" si="72"/>
        <v/>
      </c>
      <c r="CJ42" s="23" t="str">
        <f t="shared" si="72"/>
        <v/>
      </c>
      <c r="CK42" s="23" t="str">
        <f t="shared" si="72"/>
        <v/>
      </c>
      <c r="CL42" s="23" t="str">
        <f t="shared" si="72"/>
        <v/>
      </c>
      <c r="CM42" s="23" t="str">
        <f t="shared" si="72"/>
        <v/>
      </c>
      <c r="CN42" s="23" t="str">
        <f t="shared" si="73"/>
        <v/>
      </c>
      <c r="CO42" s="23" t="str">
        <f t="shared" si="73"/>
        <v/>
      </c>
      <c r="CP42" s="23" t="str">
        <f t="shared" si="73"/>
        <v/>
      </c>
      <c r="CQ42" s="23" t="str">
        <f t="shared" si="73"/>
        <v/>
      </c>
      <c r="CR42" s="23" t="str">
        <f t="shared" si="73"/>
        <v/>
      </c>
      <c r="CS42" s="23" t="str">
        <f t="shared" si="73"/>
        <v/>
      </c>
      <c r="CT42" s="23" t="str">
        <f t="shared" si="73"/>
        <v/>
      </c>
      <c r="CU42" s="23" t="str">
        <f t="shared" si="73"/>
        <v/>
      </c>
      <c r="CV42" s="23" t="str">
        <f t="shared" si="73"/>
        <v/>
      </c>
      <c r="CW42" s="23" t="str">
        <f t="shared" si="73"/>
        <v/>
      </c>
      <c r="CX42" s="23" t="str">
        <f t="shared" si="74"/>
        <v/>
      </c>
      <c r="CY42" s="23" t="str">
        <f t="shared" si="74"/>
        <v/>
      </c>
      <c r="CZ42" s="23" t="str">
        <f t="shared" si="74"/>
        <v/>
      </c>
      <c r="DA42" s="23" t="str">
        <f t="shared" si="74"/>
        <v/>
      </c>
      <c r="DB42" s="23" t="str">
        <f t="shared" si="74"/>
        <v/>
      </c>
      <c r="DC42" s="23" t="str">
        <f t="shared" si="74"/>
        <v/>
      </c>
      <c r="DD42" s="23" t="str">
        <f t="shared" si="74"/>
        <v/>
      </c>
      <c r="DE42" s="23" t="str">
        <f t="shared" si="74"/>
        <v/>
      </c>
      <c r="DF42" s="23" t="str">
        <f t="shared" si="74"/>
        <v/>
      </c>
      <c r="DG42" s="23" t="str">
        <f t="shared" si="74"/>
        <v/>
      </c>
      <c r="DH42" s="23" t="str">
        <f t="shared" si="74"/>
        <v/>
      </c>
      <c r="DI42" s="23" t="str">
        <f t="shared" si="74"/>
        <v/>
      </c>
      <c r="DJ42" s="23" t="str">
        <f t="shared" si="74"/>
        <v/>
      </c>
      <c r="DK42" s="23" t="str">
        <f t="shared" si="74"/>
        <v/>
      </c>
      <c r="DO42" s="61">
        <f t="shared" si="53"/>
        <v>37</v>
      </c>
      <c r="DP42" s="61">
        <f>IF($A42&lt;&gt;"x",$L42*SUMIFS($AF42:$DK42,$AF$4:$DK$4,Jahresscheiben!C$2),0)</f>
        <v>0</v>
      </c>
      <c r="DQ42" s="61">
        <f>IF($A42&lt;&gt;"x",$L42*SUMIFS($AF42:$DK42,$AF$4:$DK$4,Jahresscheiben!D$2),0)</f>
        <v>0</v>
      </c>
      <c r="DR42" s="61">
        <f>IF($A42&lt;&gt;"x",$L42*SUMIFS($AF42:$DK42,$AF$4:$DK$4,Jahresscheiben!E$2),0)</f>
        <v>0</v>
      </c>
      <c r="DS42" s="61">
        <f>IF($A42&lt;&gt;"x",$L42*SUMIFS($AF42:$DK42,$AF$4:$DK$4,Jahresscheiben!F$2),0)</f>
        <v>0</v>
      </c>
      <c r="DT42" s="61">
        <f>IF($A42&lt;&gt;"x",$L42*SUMIFS($AF42:$DK42,$AF$4:$DK$4,Jahresscheiben!G$2),0)</f>
        <v>0</v>
      </c>
      <c r="DU42" s="61">
        <f>IF($A42&lt;&gt;"x",$L42*SUMIFS($AF42:$DK42,$AF$4:$DK$4,Jahresscheiben!H$2),0)</f>
        <v>0</v>
      </c>
      <c r="DV42" s="61">
        <f>IF($A42&lt;&gt;"x",$L42*SUMIFS($AF42:$DK42,$AF$4:$DK$4,Jahresscheiben!I$2),0)</f>
        <v>0</v>
      </c>
      <c r="DW42" s="85"/>
      <c r="DX42" s="61">
        <f t="shared" si="54"/>
        <v>37</v>
      </c>
      <c r="DY42" s="85">
        <f>IF($A42="x",$L42*SUMIFS($AF42:$DK42,$AF$4:$DK$4,Jahresscheiben!C$2)/2,0)</f>
        <v>0</v>
      </c>
      <c r="DZ42" s="85">
        <f>IF($A42="x",$L42*SUMIFS($AF42:$DK42,$AF$4:$DK$4,Jahresscheiben!D$2)/2,0)</f>
        <v>0</v>
      </c>
      <c r="EA42" s="85">
        <f>IF($A42="x",$L42*SUMIFS($AF42:$DK42,$AF$4:$DK$4,Jahresscheiben!E$2)/2,0)</f>
        <v>0</v>
      </c>
      <c r="EB42" s="85">
        <f>IF($A42="x",$L42*SUMIFS($AF42:$DK42,$AF$4:$DK$4,Jahresscheiben!F$2)/2,0)</f>
        <v>0</v>
      </c>
      <c r="EC42" s="85">
        <f>IF($A42="x",$L42*SUMIFS($AF42:$DK42,$AF$4:$DK$4,Jahresscheiben!G$2)/2,0)</f>
        <v>0</v>
      </c>
      <c r="ED42" s="85">
        <f>IF($A42="x",$L42*SUMIFS($AF42:$DK42,$AF$4:$DK$4,Jahresscheiben!H$2)/2,0)</f>
        <v>0</v>
      </c>
      <c r="EE42" s="85">
        <f>IF($A42="x",$L42*SUMIFS($AF42:$DK42,$AF$4:$DK$4,Jahresscheiben!I$2)/2,0)</f>
        <v>0</v>
      </c>
      <c r="EF42" s="85"/>
      <c r="EG42" s="61">
        <f t="shared" si="55"/>
        <v>37</v>
      </c>
      <c r="EH42" s="85" cm="1">
        <f t="array" ref="EH4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42" s="85" cm="1">
        <f t="array" ref="EI4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42" s="85" cm="1">
        <f t="array" ref="EJ4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42" s="85" cm="1">
        <f t="array" ref="EK4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42" s="85" cm="1">
        <f t="array" ref="EL4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42" s="85" cm="1">
        <f t="array" ref="EM4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42" s="85" cm="1">
        <f t="array" ref="EN4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42" s="85"/>
      <c r="EQ42" s="61">
        <f t="shared" si="56"/>
        <v>37</v>
      </c>
      <c r="ER42" s="62">
        <f>IF($A42&lt;&gt;"x",$P42*SUMIFS($AF42:$DK42,$AF$4:$DK$4,Jahresscheiben!C$2),0)</f>
        <v>0</v>
      </c>
      <c r="ES42" s="62">
        <f>IF($A42&lt;&gt;"x",$P42*SUMIFS($AF42:$DK42,$AF$4:$DK$4,Jahresscheiben!D$2),0)</f>
        <v>0</v>
      </c>
      <c r="ET42" s="62">
        <f>IF($A42&lt;&gt;"x",$P42*SUMIFS($AF42:$DK42,$AF$4:$DK$4,Jahresscheiben!E$2),0)</f>
        <v>0</v>
      </c>
      <c r="EU42" s="62">
        <f>IF($A42&lt;&gt;"x",$P42*SUMIFS($AF42:$DK42,$AF$4:$DK$4,Jahresscheiben!F$2),0)</f>
        <v>0</v>
      </c>
      <c r="EV42" s="62">
        <f>IF($A42&lt;&gt;"x",$P42*SUMIFS($AF42:$DK42,$AF$4:$DK$4,Jahresscheiben!G$2),0)</f>
        <v>0</v>
      </c>
      <c r="EW42" s="62">
        <f>IF($A42&lt;&gt;"x",$P42*SUMIFS($AF42:$DK42,$AF$4:$DK$4,Jahresscheiben!H$2),0)</f>
        <v>0</v>
      </c>
      <c r="EX42" s="62">
        <f>IF($A42&lt;&gt;"x",$P42*SUMIFS($AF42:$DK42,$AF$4:$DK$4,Jahresscheiben!I$2),0)</f>
        <v>0</v>
      </c>
      <c r="EY42" s="85"/>
      <c r="EZ42" s="61">
        <f t="shared" si="57"/>
        <v>37</v>
      </c>
      <c r="FA42" s="85">
        <f>IF($A42="x",$P42*SUMIFS($AF42:$DK42,$AF$4:$DK$4,Jahresscheiben!C$2)/2,0)</f>
        <v>0</v>
      </c>
      <c r="FB42" s="85">
        <f>IF($A42="x",$P42*SUMIFS($AF42:$DK42,$AF$4:$DK$4,Jahresscheiben!D$2)/2,0)</f>
        <v>0</v>
      </c>
      <c r="FC42" s="85">
        <f>IF($A42="x",$P42*SUMIFS($AF42:$DK42,$AF$4:$DK$4,Jahresscheiben!E$2)/2,0)</f>
        <v>0</v>
      </c>
      <c r="FD42" s="85">
        <f>IF($A42="x",$P42*SUMIFS($AF42:$DK42,$AF$4:$DK$4,Jahresscheiben!F$2)/2,0)</f>
        <v>0</v>
      </c>
      <c r="FE42" s="85">
        <f>IF($A42="x",$P42*SUMIFS($AF42:$DK42,$AF$4:$DK$4,Jahresscheiben!G$2)/2,0)</f>
        <v>0</v>
      </c>
      <c r="FF42" s="85">
        <f>IF($A42="x",$P42*SUMIFS($AF42:$DK42,$AF$4:$DK$4,Jahresscheiben!H$2)/2,0)</f>
        <v>0</v>
      </c>
      <c r="FG42" s="85">
        <f>IF($A42="x",$P42*SUMIFS($AF42:$DK42,$AF$4:$DK$4,Jahresscheiben!I$2)/2,0)</f>
        <v>0</v>
      </c>
      <c r="FH42" s="85"/>
      <c r="FI42" s="61">
        <f t="shared" si="58"/>
        <v>37</v>
      </c>
      <c r="FJ42" s="85" cm="1">
        <f t="array" ref="FJ4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42" s="85" cm="1">
        <f t="array" ref="FK4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42" s="85" cm="1">
        <f t="array" ref="FL4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42" s="85" cm="1">
        <f t="array" ref="FM4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42" s="85" cm="1">
        <f t="array" ref="FN4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42" s="85" cm="1">
        <f t="array" ref="FO4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42" s="85" cm="1">
        <f t="array" ref="FP4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43" spans="1:172" ht="17" hidden="1" customHeight="1" thickBot="1" x14ac:dyDescent="0.55000000000000004">
      <c r="A43" s="30" t="s">
        <v>24</v>
      </c>
      <c r="B43" s="31">
        <f t="shared" si="90"/>
        <v>0</v>
      </c>
      <c r="C43" s="22">
        <f t="shared" si="51"/>
        <v>38</v>
      </c>
      <c r="D43" s="71"/>
      <c r="E43" s="26"/>
      <c r="F43" s="26"/>
      <c r="G43" s="26"/>
      <c r="H43" s="26"/>
      <c r="I43" s="6" t="str">
        <f t="shared" si="91"/>
        <v/>
      </c>
      <c r="J43" s="6" t="str">
        <f t="shared" si="92"/>
        <v/>
      </c>
      <c r="K43" s="26"/>
      <c r="L43" s="53">
        <v>1</v>
      </c>
      <c r="M43" s="60" cm="1">
        <f t="array" ref="M43" xml:space="preserve">
_xlfn.LET(
_xlpm.Z, _xlfn._xlws.FILTER($DY$6:$EE$65,$DX$6:$DX$65=C43),
_xlpm.Q,_xlfn._xlws.FILTER($DP$6:$DV$65,$DO$6:$DO$65=C43),
IF($A43="x",SUMPRODUCT(_xlpm.Z,$DY$73:$EE$73,EH43:EN43),SUMPRODUCT(_xlpm.Q,$DP$73:$DV$73)))</f>
        <v>0</v>
      </c>
      <c r="N43" s="54" t="str" cm="1">
        <f t="array" ref="N43" xml:space="preserve">
_xlfn.LET(
_xlpm.Z, SUM(IF($A43="x",_xlfn._xlws.FILTER($M$6:$M$65,$A$6:$A$65="x"),_xlfn._xlws.FILTER($M$6:$M$65,$A$6:$A$65&lt;&gt;"x"))),
IF(_xlpm.Z&lt;&gt;0,M43/_xlpm.Z,""))</f>
        <v/>
      </c>
      <c r="O43" s="26"/>
      <c r="P43" s="53">
        <f t="shared" si="93"/>
        <v>1</v>
      </c>
      <c r="Q43" s="60" cm="1">
        <f t="array" ref="Q43" xml:space="preserve">
_xlfn.LET(
_xlpm.Z, _xlfn._xlws.FILTER($FA$6:$FG$65,$EZ$6:$EZ$65=C43),
_xlpm.Q,_xlfn._xlws.FILTER($ER$6:$EX$65,$EQ$6:$EQ$65=C43),
IF($A43="x",SUMPRODUCT(_xlpm.Z,$FA$73:$FG$73,FJ43:FP43),SUMPRODUCT(_xlpm.Q,$ER$73:$EX$73)))</f>
        <v>0</v>
      </c>
      <c r="R43" s="54" t="str" cm="1">
        <f t="array" ref="R43" xml:space="preserve">
_xlfn.LET(
_xlpm.Z, SUM(IF($A43="x",_xlfn._xlws.FILTER($Q$6:$Q$65,$A$6:$A$65="x"),_xlfn._xlws.FILTER($Q$6:$Q$65,$A$6:$A$65&lt;&gt;"x"))),
IF(_xlpm.Z&lt;&gt;0,Q43/_xlpm.Z,""))</f>
        <v/>
      </c>
      <c r="S43" s="26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8"/>
      <c r="AE43" s="28"/>
      <c r="AF43" s="23" t="str">
        <f t="shared" si="67"/>
        <v/>
      </c>
      <c r="AG43" s="23" t="str">
        <f t="shared" si="67"/>
        <v/>
      </c>
      <c r="AH43" s="23" t="str">
        <f t="shared" si="67"/>
        <v/>
      </c>
      <c r="AI43" s="23" t="str">
        <f t="shared" si="67"/>
        <v/>
      </c>
      <c r="AJ43" s="23" t="str">
        <f t="shared" si="67"/>
        <v/>
      </c>
      <c r="AK43" s="23" t="str">
        <f t="shared" si="67"/>
        <v/>
      </c>
      <c r="AL43" s="23" t="str">
        <f t="shared" si="67"/>
        <v/>
      </c>
      <c r="AM43" s="23" t="str">
        <f t="shared" si="67"/>
        <v/>
      </c>
      <c r="AN43" s="23" t="str">
        <f t="shared" si="67"/>
        <v/>
      </c>
      <c r="AO43" s="23" t="str">
        <f t="shared" si="67"/>
        <v/>
      </c>
      <c r="AP43" s="23" t="str">
        <f t="shared" si="68"/>
        <v/>
      </c>
      <c r="AQ43" s="23" t="str">
        <f t="shared" si="68"/>
        <v/>
      </c>
      <c r="AR43" s="23" t="str">
        <f t="shared" si="68"/>
        <v/>
      </c>
      <c r="AS43" s="23" t="str">
        <f t="shared" si="68"/>
        <v/>
      </c>
      <c r="AT43" s="23" t="str">
        <f t="shared" si="68"/>
        <v/>
      </c>
      <c r="AU43" s="23" t="str">
        <f t="shared" si="68"/>
        <v/>
      </c>
      <c r="AV43" s="23" t="str">
        <f t="shared" si="68"/>
        <v/>
      </c>
      <c r="AW43" s="23" t="str">
        <f t="shared" si="68"/>
        <v/>
      </c>
      <c r="AX43" s="23" t="str">
        <f t="shared" si="68"/>
        <v/>
      </c>
      <c r="AY43" s="23" t="str">
        <f t="shared" si="68"/>
        <v/>
      </c>
      <c r="AZ43" s="23" t="str">
        <f t="shared" si="69"/>
        <v/>
      </c>
      <c r="BA43" s="23" t="str">
        <f t="shared" si="69"/>
        <v/>
      </c>
      <c r="BB43" s="23" t="str">
        <f t="shared" si="69"/>
        <v/>
      </c>
      <c r="BC43" s="23" t="str">
        <f t="shared" si="69"/>
        <v/>
      </c>
      <c r="BD43" s="23" t="str">
        <f t="shared" si="69"/>
        <v/>
      </c>
      <c r="BE43" s="23" t="str">
        <f t="shared" si="69"/>
        <v/>
      </c>
      <c r="BF43" s="23" t="str">
        <f t="shared" si="69"/>
        <v/>
      </c>
      <c r="BG43" s="23" t="str">
        <f t="shared" si="69"/>
        <v/>
      </c>
      <c r="BH43" s="23" t="str">
        <f t="shared" si="69"/>
        <v/>
      </c>
      <c r="BI43" s="23" t="str">
        <f t="shared" si="69"/>
        <v/>
      </c>
      <c r="BJ43" s="23" t="str">
        <f t="shared" si="70"/>
        <v/>
      </c>
      <c r="BK43" s="23" t="str">
        <f t="shared" si="70"/>
        <v/>
      </c>
      <c r="BL43" s="23" t="str">
        <f t="shared" si="70"/>
        <v/>
      </c>
      <c r="BM43" s="23" t="str">
        <f t="shared" si="70"/>
        <v/>
      </c>
      <c r="BN43" s="23" t="str">
        <f t="shared" si="70"/>
        <v/>
      </c>
      <c r="BO43" s="23" t="str">
        <f t="shared" si="70"/>
        <v/>
      </c>
      <c r="BP43" s="23" t="str">
        <f t="shared" si="70"/>
        <v/>
      </c>
      <c r="BQ43" s="23" t="str">
        <f t="shared" si="70"/>
        <v/>
      </c>
      <c r="BR43" s="23" t="str">
        <f t="shared" si="70"/>
        <v/>
      </c>
      <c r="BS43" s="23" t="str">
        <f t="shared" si="70"/>
        <v/>
      </c>
      <c r="BT43" s="23" t="str">
        <f t="shared" si="71"/>
        <v/>
      </c>
      <c r="BU43" s="23" t="str">
        <f t="shared" si="71"/>
        <v/>
      </c>
      <c r="BV43" s="23" t="str">
        <f t="shared" si="71"/>
        <v/>
      </c>
      <c r="BW43" s="23" t="str">
        <f t="shared" si="71"/>
        <v/>
      </c>
      <c r="BX43" s="23" t="str">
        <f t="shared" si="71"/>
        <v/>
      </c>
      <c r="BY43" s="23" t="str">
        <f t="shared" si="71"/>
        <v/>
      </c>
      <c r="BZ43" s="23" t="str">
        <f t="shared" si="71"/>
        <v/>
      </c>
      <c r="CA43" s="23" t="str">
        <f t="shared" si="71"/>
        <v/>
      </c>
      <c r="CB43" s="23" t="str">
        <f t="shared" si="71"/>
        <v/>
      </c>
      <c r="CC43" s="23" t="str">
        <f t="shared" si="71"/>
        <v/>
      </c>
      <c r="CD43" s="23" t="str">
        <f t="shared" si="72"/>
        <v/>
      </c>
      <c r="CE43" s="23" t="str">
        <f t="shared" si="72"/>
        <v/>
      </c>
      <c r="CF43" s="23" t="str">
        <f t="shared" si="72"/>
        <v/>
      </c>
      <c r="CG43" s="23" t="str">
        <f t="shared" si="72"/>
        <v/>
      </c>
      <c r="CH43" s="23" t="str">
        <f t="shared" si="72"/>
        <v/>
      </c>
      <c r="CI43" s="23" t="str">
        <f t="shared" si="72"/>
        <v/>
      </c>
      <c r="CJ43" s="23" t="str">
        <f t="shared" si="72"/>
        <v/>
      </c>
      <c r="CK43" s="23" t="str">
        <f t="shared" si="72"/>
        <v/>
      </c>
      <c r="CL43" s="23" t="str">
        <f t="shared" si="72"/>
        <v/>
      </c>
      <c r="CM43" s="23" t="str">
        <f t="shared" si="72"/>
        <v/>
      </c>
      <c r="CN43" s="23" t="str">
        <f t="shared" si="73"/>
        <v/>
      </c>
      <c r="CO43" s="23" t="str">
        <f t="shared" si="73"/>
        <v/>
      </c>
      <c r="CP43" s="23" t="str">
        <f t="shared" si="73"/>
        <v/>
      </c>
      <c r="CQ43" s="23" t="str">
        <f t="shared" si="73"/>
        <v/>
      </c>
      <c r="CR43" s="23" t="str">
        <f t="shared" si="73"/>
        <v/>
      </c>
      <c r="CS43" s="23" t="str">
        <f t="shared" si="73"/>
        <v/>
      </c>
      <c r="CT43" s="23" t="str">
        <f t="shared" si="73"/>
        <v/>
      </c>
      <c r="CU43" s="23" t="str">
        <f t="shared" si="73"/>
        <v/>
      </c>
      <c r="CV43" s="23" t="str">
        <f t="shared" si="73"/>
        <v/>
      </c>
      <c r="CW43" s="23" t="str">
        <f t="shared" si="73"/>
        <v/>
      </c>
      <c r="CX43" s="23" t="str">
        <f t="shared" si="74"/>
        <v/>
      </c>
      <c r="CY43" s="23" t="str">
        <f t="shared" si="74"/>
        <v/>
      </c>
      <c r="CZ43" s="23" t="str">
        <f t="shared" si="74"/>
        <v/>
      </c>
      <c r="DA43" s="23" t="str">
        <f t="shared" si="74"/>
        <v/>
      </c>
      <c r="DB43" s="23" t="str">
        <f t="shared" si="74"/>
        <v/>
      </c>
      <c r="DC43" s="23" t="str">
        <f t="shared" si="74"/>
        <v/>
      </c>
      <c r="DD43" s="23" t="str">
        <f t="shared" si="74"/>
        <v/>
      </c>
      <c r="DE43" s="23" t="str">
        <f t="shared" si="74"/>
        <v/>
      </c>
      <c r="DF43" s="23" t="str">
        <f t="shared" si="74"/>
        <v/>
      </c>
      <c r="DG43" s="23" t="str">
        <f t="shared" si="74"/>
        <v/>
      </c>
      <c r="DH43" s="23" t="str">
        <f t="shared" si="74"/>
        <v/>
      </c>
      <c r="DI43" s="23" t="str">
        <f t="shared" si="74"/>
        <v/>
      </c>
      <c r="DJ43" s="23" t="str">
        <f t="shared" si="74"/>
        <v/>
      </c>
      <c r="DK43" s="23" t="str">
        <f t="shared" si="74"/>
        <v/>
      </c>
      <c r="DO43" s="61">
        <f t="shared" si="53"/>
        <v>38</v>
      </c>
      <c r="DP43" s="61">
        <f>IF($A43&lt;&gt;"x",$L43*SUMIFS($AF43:$DK43,$AF$4:$DK$4,Jahresscheiben!C$2),0)</f>
        <v>0</v>
      </c>
      <c r="DQ43" s="61">
        <f>IF($A43&lt;&gt;"x",$L43*SUMIFS($AF43:$DK43,$AF$4:$DK$4,Jahresscheiben!D$2),0)</f>
        <v>0</v>
      </c>
      <c r="DR43" s="61">
        <f>IF($A43&lt;&gt;"x",$L43*SUMIFS($AF43:$DK43,$AF$4:$DK$4,Jahresscheiben!E$2),0)</f>
        <v>0</v>
      </c>
      <c r="DS43" s="61">
        <f>IF($A43&lt;&gt;"x",$L43*SUMIFS($AF43:$DK43,$AF$4:$DK$4,Jahresscheiben!F$2),0)</f>
        <v>0</v>
      </c>
      <c r="DT43" s="61">
        <f>IF($A43&lt;&gt;"x",$L43*SUMIFS($AF43:$DK43,$AF$4:$DK$4,Jahresscheiben!G$2),0)</f>
        <v>0</v>
      </c>
      <c r="DU43" s="61">
        <f>IF($A43&lt;&gt;"x",$L43*SUMIFS($AF43:$DK43,$AF$4:$DK$4,Jahresscheiben!H$2),0)</f>
        <v>0</v>
      </c>
      <c r="DV43" s="61">
        <f>IF($A43&lt;&gt;"x",$L43*SUMIFS($AF43:$DK43,$AF$4:$DK$4,Jahresscheiben!I$2),0)</f>
        <v>0</v>
      </c>
      <c r="DW43" s="85"/>
      <c r="DX43" s="61">
        <f t="shared" si="54"/>
        <v>38</v>
      </c>
      <c r="DY43" s="85">
        <f>IF($A43="x",$L43*SUMIFS($AF43:$DK43,$AF$4:$DK$4,Jahresscheiben!C$2)/2,0)</f>
        <v>0</v>
      </c>
      <c r="DZ43" s="85">
        <f>IF($A43="x",$L43*SUMIFS($AF43:$DK43,$AF$4:$DK$4,Jahresscheiben!D$2)/2,0)</f>
        <v>0</v>
      </c>
      <c r="EA43" s="85">
        <f>IF($A43="x",$L43*SUMIFS($AF43:$DK43,$AF$4:$DK$4,Jahresscheiben!E$2)/2,0)</f>
        <v>0</v>
      </c>
      <c r="EB43" s="85">
        <f>IF($A43="x",$L43*SUMIFS($AF43:$DK43,$AF$4:$DK$4,Jahresscheiben!F$2)/2,0)</f>
        <v>0</v>
      </c>
      <c r="EC43" s="85">
        <f>IF($A43="x",$L43*SUMIFS($AF43:$DK43,$AF$4:$DK$4,Jahresscheiben!G$2)/2,0)</f>
        <v>0</v>
      </c>
      <c r="ED43" s="85">
        <f>IF($A43="x",$L43*SUMIFS($AF43:$DK43,$AF$4:$DK$4,Jahresscheiben!H$2)/2,0)</f>
        <v>0</v>
      </c>
      <c r="EE43" s="85">
        <f>IF($A43="x",$L43*SUMIFS($AF43:$DK43,$AF$4:$DK$4,Jahresscheiben!I$2)/2,0)</f>
        <v>0</v>
      </c>
      <c r="EF43" s="85"/>
      <c r="EG43" s="61">
        <f t="shared" si="55"/>
        <v>38</v>
      </c>
      <c r="EH43" s="85" cm="1">
        <f t="array" ref="EH4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43" s="85" cm="1">
        <f t="array" ref="EI4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43" s="85" cm="1">
        <f t="array" ref="EJ4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43" s="85" cm="1">
        <f t="array" ref="EK4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43" s="85" cm="1">
        <f t="array" ref="EL4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43" s="85" cm="1">
        <f t="array" ref="EM4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43" s="85" cm="1">
        <f t="array" ref="EN4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43" s="85"/>
      <c r="EQ43" s="61">
        <f t="shared" si="56"/>
        <v>38</v>
      </c>
      <c r="ER43" s="62">
        <f>IF($A43&lt;&gt;"x",$P43*SUMIFS($AF43:$DK43,$AF$4:$DK$4,Jahresscheiben!C$2),0)</f>
        <v>0</v>
      </c>
      <c r="ES43" s="62">
        <f>IF($A43&lt;&gt;"x",$P43*SUMIFS($AF43:$DK43,$AF$4:$DK$4,Jahresscheiben!D$2),0)</f>
        <v>0</v>
      </c>
      <c r="ET43" s="62">
        <f>IF($A43&lt;&gt;"x",$P43*SUMIFS($AF43:$DK43,$AF$4:$DK$4,Jahresscheiben!E$2),0)</f>
        <v>0</v>
      </c>
      <c r="EU43" s="62">
        <f>IF($A43&lt;&gt;"x",$P43*SUMIFS($AF43:$DK43,$AF$4:$DK$4,Jahresscheiben!F$2),0)</f>
        <v>0</v>
      </c>
      <c r="EV43" s="62">
        <f>IF($A43&lt;&gt;"x",$P43*SUMIFS($AF43:$DK43,$AF$4:$DK$4,Jahresscheiben!G$2),0)</f>
        <v>0</v>
      </c>
      <c r="EW43" s="62">
        <f>IF($A43&lt;&gt;"x",$P43*SUMIFS($AF43:$DK43,$AF$4:$DK$4,Jahresscheiben!H$2),0)</f>
        <v>0</v>
      </c>
      <c r="EX43" s="62">
        <f>IF($A43&lt;&gt;"x",$P43*SUMIFS($AF43:$DK43,$AF$4:$DK$4,Jahresscheiben!I$2),0)</f>
        <v>0</v>
      </c>
      <c r="EY43" s="85"/>
      <c r="EZ43" s="61">
        <f t="shared" si="57"/>
        <v>38</v>
      </c>
      <c r="FA43" s="85">
        <f>IF($A43="x",$P43*SUMIFS($AF43:$DK43,$AF$4:$DK$4,Jahresscheiben!C$2)/2,0)</f>
        <v>0</v>
      </c>
      <c r="FB43" s="85">
        <f>IF($A43="x",$P43*SUMIFS($AF43:$DK43,$AF$4:$DK$4,Jahresscheiben!D$2)/2,0)</f>
        <v>0</v>
      </c>
      <c r="FC43" s="85">
        <f>IF($A43="x",$P43*SUMIFS($AF43:$DK43,$AF$4:$DK$4,Jahresscheiben!E$2)/2,0)</f>
        <v>0</v>
      </c>
      <c r="FD43" s="85">
        <f>IF($A43="x",$P43*SUMIFS($AF43:$DK43,$AF$4:$DK$4,Jahresscheiben!F$2)/2,0)</f>
        <v>0</v>
      </c>
      <c r="FE43" s="85">
        <f>IF($A43="x",$P43*SUMIFS($AF43:$DK43,$AF$4:$DK$4,Jahresscheiben!G$2)/2,0)</f>
        <v>0</v>
      </c>
      <c r="FF43" s="85">
        <f>IF($A43="x",$P43*SUMIFS($AF43:$DK43,$AF$4:$DK$4,Jahresscheiben!H$2)/2,0)</f>
        <v>0</v>
      </c>
      <c r="FG43" s="85">
        <f>IF($A43="x",$P43*SUMIFS($AF43:$DK43,$AF$4:$DK$4,Jahresscheiben!I$2)/2,0)</f>
        <v>0</v>
      </c>
      <c r="FH43" s="85"/>
      <c r="FI43" s="61">
        <f t="shared" si="58"/>
        <v>38</v>
      </c>
      <c r="FJ43" s="85" cm="1">
        <f t="array" ref="FJ4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43" s="85" cm="1">
        <f t="array" ref="FK4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43" s="85" cm="1">
        <f t="array" ref="FL4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43" s="85" cm="1">
        <f t="array" ref="FM4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43" s="85" cm="1">
        <f t="array" ref="FN4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43" s="85" cm="1">
        <f t="array" ref="FO4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43" s="85" cm="1">
        <f t="array" ref="FP4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44" spans="1:172" ht="17" hidden="1" customHeight="1" thickBot="1" x14ac:dyDescent="0.55000000000000004">
      <c r="A44" s="30" t="s">
        <v>24</v>
      </c>
      <c r="B44" s="31">
        <f t="shared" si="90"/>
        <v>0</v>
      </c>
      <c r="C44" s="22">
        <f t="shared" si="51"/>
        <v>39</v>
      </c>
      <c r="D44" s="71"/>
      <c r="E44" s="26"/>
      <c r="F44" s="26"/>
      <c r="G44" s="26"/>
      <c r="H44" s="26"/>
      <c r="I44" s="6" t="str">
        <f t="shared" si="91"/>
        <v/>
      </c>
      <c r="J44" s="6" t="str">
        <f t="shared" si="92"/>
        <v/>
      </c>
      <c r="K44" s="26"/>
      <c r="L44" s="53">
        <v>1</v>
      </c>
      <c r="M44" s="60" cm="1">
        <f t="array" ref="M44" xml:space="preserve">
_xlfn.LET(
_xlpm.Z, _xlfn._xlws.FILTER($DY$6:$EE$65,$DX$6:$DX$65=C44),
_xlpm.Q,_xlfn._xlws.FILTER($DP$6:$DV$65,$DO$6:$DO$65=C44),
IF($A44="x",SUMPRODUCT(_xlpm.Z,$DY$73:$EE$73,EH44:EN44),SUMPRODUCT(_xlpm.Q,$DP$73:$DV$73)))</f>
        <v>0</v>
      </c>
      <c r="N44" s="54" t="str" cm="1">
        <f t="array" ref="N44" xml:space="preserve">
_xlfn.LET(
_xlpm.Z, SUM(IF($A44="x",_xlfn._xlws.FILTER($M$6:$M$65,$A$6:$A$65="x"),_xlfn._xlws.FILTER($M$6:$M$65,$A$6:$A$65&lt;&gt;"x"))),
IF(_xlpm.Z&lt;&gt;0,M44/_xlpm.Z,""))</f>
        <v/>
      </c>
      <c r="O44" s="26"/>
      <c r="P44" s="53">
        <f t="shared" si="93"/>
        <v>1</v>
      </c>
      <c r="Q44" s="60" cm="1">
        <f t="array" ref="Q44" xml:space="preserve">
_xlfn.LET(
_xlpm.Z, _xlfn._xlws.FILTER($FA$6:$FG$65,$EZ$6:$EZ$65=C44),
_xlpm.Q,_xlfn._xlws.FILTER($ER$6:$EX$65,$EQ$6:$EQ$65=C44),
IF($A44="x",SUMPRODUCT(_xlpm.Z,$FA$73:$FG$73,FJ44:FP44),SUMPRODUCT(_xlpm.Q,$ER$73:$EX$73)))</f>
        <v>0</v>
      </c>
      <c r="R44" s="54" t="str" cm="1">
        <f t="array" ref="R44" xml:space="preserve">
_xlfn.LET(
_xlpm.Z, SUM(IF($A44="x",_xlfn._xlws.FILTER($Q$6:$Q$65,$A$6:$A$65="x"),_xlfn._xlws.FILTER($Q$6:$Q$65,$A$6:$A$65&lt;&gt;"x"))),
IF(_xlpm.Z&lt;&gt;0,Q44/_xlpm.Z,""))</f>
        <v/>
      </c>
      <c r="S44" s="26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8"/>
      <c r="AE44" s="28"/>
      <c r="AF44" s="23" t="str">
        <f t="shared" si="67"/>
        <v/>
      </c>
      <c r="AG44" s="23" t="str">
        <f t="shared" si="67"/>
        <v/>
      </c>
      <c r="AH44" s="23" t="str">
        <f t="shared" si="67"/>
        <v/>
      </c>
      <c r="AI44" s="23" t="str">
        <f t="shared" si="67"/>
        <v/>
      </c>
      <c r="AJ44" s="23" t="str">
        <f t="shared" si="67"/>
        <v/>
      </c>
      <c r="AK44" s="23" t="str">
        <f t="shared" si="67"/>
        <v/>
      </c>
      <c r="AL44" s="23" t="str">
        <f t="shared" si="67"/>
        <v/>
      </c>
      <c r="AM44" s="23" t="str">
        <f t="shared" si="67"/>
        <v/>
      </c>
      <c r="AN44" s="23" t="str">
        <f t="shared" si="67"/>
        <v/>
      </c>
      <c r="AO44" s="23" t="str">
        <f t="shared" si="67"/>
        <v/>
      </c>
      <c r="AP44" s="23" t="str">
        <f t="shared" si="68"/>
        <v/>
      </c>
      <c r="AQ44" s="23" t="str">
        <f t="shared" si="68"/>
        <v/>
      </c>
      <c r="AR44" s="23" t="str">
        <f t="shared" si="68"/>
        <v/>
      </c>
      <c r="AS44" s="23" t="str">
        <f t="shared" si="68"/>
        <v/>
      </c>
      <c r="AT44" s="23" t="str">
        <f t="shared" si="68"/>
        <v/>
      </c>
      <c r="AU44" s="23" t="str">
        <f t="shared" si="68"/>
        <v/>
      </c>
      <c r="AV44" s="23" t="str">
        <f t="shared" si="68"/>
        <v/>
      </c>
      <c r="AW44" s="23" t="str">
        <f t="shared" si="68"/>
        <v/>
      </c>
      <c r="AX44" s="23" t="str">
        <f t="shared" si="68"/>
        <v/>
      </c>
      <c r="AY44" s="23" t="str">
        <f t="shared" si="68"/>
        <v/>
      </c>
      <c r="AZ44" s="23" t="str">
        <f t="shared" si="69"/>
        <v/>
      </c>
      <c r="BA44" s="23" t="str">
        <f t="shared" si="69"/>
        <v/>
      </c>
      <c r="BB44" s="23" t="str">
        <f t="shared" si="69"/>
        <v/>
      </c>
      <c r="BC44" s="23" t="str">
        <f t="shared" si="69"/>
        <v/>
      </c>
      <c r="BD44" s="23" t="str">
        <f t="shared" si="69"/>
        <v/>
      </c>
      <c r="BE44" s="23" t="str">
        <f t="shared" si="69"/>
        <v/>
      </c>
      <c r="BF44" s="23" t="str">
        <f t="shared" si="69"/>
        <v/>
      </c>
      <c r="BG44" s="23" t="str">
        <f t="shared" si="69"/>
        <v/>
      </c>
      <c r="BH44" s="23" t="str">
        <f t="shared" si="69"/>
        <v/>
      </c>
      <c r="BI44" s="23" t="str">
        <f t="shared" si="69"/>
        <v/>
      </c>
      <c r="BJ44" s="23" t="str">
        <f t="shared" si="70"/>
        <v/>
      </c>
      <c r="BK44" s="23" t="str">
        <f t="shared" si="70"/>
        <v/>
      </c>
      <c r="BL44" s="23" t="str">
        <f t="shared" si="70"/>
        <v/>
      </c>
      <c r="BM44" s="23" t="str">
        <f t="shared" si="70"/>
        <v/>
      </c>
      <c r="BN44" s="23" t="str">
        <f t="shared" si="70"/>
        <v/>
      </c>
      <c r="BO44" s="23" t="str">
        <f t="shared" si="70"/>
        <v/>
      </c>
      <c r="BP44" s="23" t="str">
        <f t="shared" si="70"/>
        <v/>
      </c>
      <c r="BQ44" s="23" t="str">
        <f t="shared" si="70"/>
        <v/>
      </c>
      <c r="BR44" s="23" t="str">
        <f t="shared" si="70"/>
        <v/>
      </c>
      <c r="BS44" s="23" t="str">
        <f t="shared" si="70"/>
        <v/>
      </c>
      <c r="BT44" s="23" t="str">
        <f t="shared" si="71"/>
        <v/>
      </c>
      <c r="BU44" s="23" t="str">
        <f t="shared" si="71"/>
        <v/>
      </c>
      <c r="BV44" s="23" t="str">
        <f t="shared" si="71"/>
        <v/>
      </c>
      <c r="BW44" s="23" t="str">
        <f t="shared" si="71"/>
        <v/>
      </c>
      <c r="BX44" s="23" t="str">
        <f t="shared" si="71"/>
        <v/>
      </c>
      <c r="BY44" s="23" t="str">
        <f t="shared" si="71"/>
        <v/>
      </c>
      <c r="BZ44" s="23" t="str">
        <f t="shared" si="71"/>
        <v/>
      </c>
      <c r="CA44" s="23" t="str">
        <f t="shared" si="71"/>
        <v/>
      </c>
      <c r="CB44" s="23" t="str">
        <f t="shared" si="71"/>
        <v/>
      </c>
      <c r="CC44" s="23" t="str">
        <f t="shared" si="71"/>
        <v/>
      </c>
      <c r="CD44" s="23" t="str">
        <f t="shared" si="72"/>
        <v/>
      </c>
      <c r="CE44" s="23" t="str">
        <f t="shared" si="72"/>
        <v/>
      </c>
      <c r="CF44" s="23" t="str">
        <f t="shared" si="72"/>
        <v/>
      </c>
      <c r="CG44" s="23" t="str">
        <f t="shared" si="72"/>
        <v/>
      </c>
      <c r="CH44" s="23" t="str">
        <f t="shared" si="72"/>
        <v/>
      </c>
      <c r="CI44" s="23" t="str">
        <f t="shared" si="72"/>
        <v/>
      </c>
      <c r="CJ44" s="23" t="str">
        <f t="shared" si="72"/>
        <v/>
      </c>
      <c r="CK44" s="23" t="str">
        <f t="shared" si="72"/>
        <v/>
      </c>
      <c r="CL44" s="23" t="str">
        <f t="shared" si="72"/>
        <v/>
      </c>
      <c r="CM44" s="23" t="str">
        <f t="shared" si="72"/>
        <v/>
      </c>
      <c r="CN44" s="23" t="str">
        <f t="shared" si="73"/>
        <v/>
      </c>
      <c r="CO44" s="23" t="str">
        <f t="shared" si="73"/>
        <v/>
      </c>
      <c r="CP44" s="23" t="str">
        <f t="shared" si="73"/>
        <v/>
      </c>
      <c r="CQ44" s="23" t="str">
        <f t="shared" si="73"/>
        <v/>
      </c>
      <c r="CR44" s="23" t="str">
        <f t="shared" si="73"/>
        <v/>
      </c>
      <c r="CS44" s="23" t="str">
        <f t="shared" si="73"/>
        <v/>
      </c>
      <c r="CT44" s="23" t="str">
        <f t="shared" si="73"/>
        <v/>
      </c>
      <c r="CU44" s="23" t="str">
        <f t="shared" si="73"/>
        <v/>
      </c>
      <c r="CV44" s="23" t="str">
        <f t="shared" si="73"/>
        <v/>
      </c>
      <c r="CW44" s="23" t="str">
        <f t="shared" si="73"/>
        <v/>
      </c>
      <c r="CX44" s="23" t="str">
        <f t="shared" si="74"/>
        <v/>
      </c>
      <c r="CY44" s="23" t="str">
        <f t="shared" si="74"/>
        <v/>
      </c>
      <c r="CZ44" s="23" t="str">
        <f t="shared" si="74"/>
        <v/>
      </c>
      <c r="DA44" s="23" t="str">
        <f t="shared" si="74"/>
        <v/>
      </c>
      <c r="DB44" s="23" t="str">
        <f t="shared" si="74"/>
        <v/>
      </c>
      <c r="DC44" s="23" t="str">
        <f t="shared" si="74"/>
        <v/>
      </c>
      <c r="DD44" s="23" t="str">
        <f t="shared" si="74"/>
        <v/>
      </c>
      <c r="DE44" s="23" t="str">
        <f t="shared" si="74"/>
        <v/>
      </c>
      <c r="DF44" s="23" t="str">
        <f t="shared" si="74"/>
        <v/>
      </c>
      <c r="DG44" s="23" t="str">
        <f t="shared" si="74"/>
        <v/>
      </c>
      <c r="DH44" s="23" t="str">
        <f t="shared" si="74"/>
        <v/>
      </c>
      <c r="DI44" s="23" t="str">
        <f t="shared" si="74"/>
        <v/>
      </c>
      <c r="DJ44" s="23" t="str">
        <f t="shared" si="74"/>
        <v/>
      </c>
      <c r="DK44" s="23" t="str">
        <f t="shared" si="74"/>
        <v/>
      </c>
      <c r="DO44" s="61">
        <f t="shared" si="53"/>
        <v>39</v>
      </c>
      <c r="DP44" s="61">
        <f>IF($A44&lt;&gt;"x",$L44*SUMIFS($AF44:$DK44,$AF$4:$DK$4,Jahresscheiben!C$2),0)</f>
        <v>0</v>
      </c>
      <c r="DQ44" s="61">
        <f>IF($A44&lt;&gt;"x",$L44*SUMIFS($AF44:$DK44,$AF$4:$DK$4,Jahresscheiben!D$2),0)</f>
        <v>0</v>
      </c>
      <c r="DR44" s="61">
        <f>IF($A44&lt;&gt;"x",$L44*SUMIFS($AF44:$DK44,$AF$4:$DK$4,Jahresscheiben!E$2),0)</f>
        <v>0</v>
      </c>
      <c r="DS44" s="61">
        <f>IF($A44&lt;&gt;"x",$L44*SUMIFS($AF44:$DK44,$AF$4:$DK$4,Jahresscheiben!F$2),0)</f>
        <v>0</v>
      </c>
      <c r="DT44" s="61">
        <f>IF($A44&lt;&gt;"x",$L44*SUMIFS($AF44:$DK44,$AF$4:$DK$4,Jahresscheiben!G$2),0)</f>
        <v>0</v>
      </c>
      <c r="DU44" s="61">
        <f>IF($A44&lt;&gt;"x",$L44*SUMIFS($AF44:$DK44,$AF$4:$DK$4,Jahresscheiben!H$2),0)</f>
        <v>0</v>
      </c>
      <c r="DV44" s="61">
        <f>IF($A44&lt;&gt;"x",$L44*SUMIFS($AF44:$DK44,$AF$4:$DK$4,Jahresscheiben!I$2),0)</f>
        <v>0</v>
      </c>
      <c r="DW44" s="85"/>
      <c r="DX44" s="61">
        <f t="shared" si="54"/>
        <v>39</v>
      </c>
      <c r="DY44" s="85">
        <f>IF($A44="x",$L44*SUMIFS($AF44:$DK44,$AF$4:$DK$4,Jahresscheiben!C$2)/2,0)</f>
        <v>0</v>
      </c>
      <c r="DZ44" s="85">
        <f>IF($A44="x",$L44*SUMIFS($AF44:$DK44,$AF$4:$DK$4,Jahresscheiben!D$2)/2,0)</f>
        <v>0</v>
      </c>
      <c r="EA44" s="85">
        <f>IF($A44="x",$L44*SUMIFS($AF44:$DK44,$AF$4:$DK$4,Jahresscheiben!E$2)/2,0)</f>
        <v>0</v>
      </c>
      <c r="EB44" s="85">
        <f>IF($A44="x",$L44*SUMIFS($AF44:$DK44,$AF$4:$DK$4,Jahresscheiben!F$2)/2,0)</f>
        <v>0</v>
      </c>
      <c r="EC44" s="85">
        <f>IF($A44="x",$L44*SUMIFS($AF44:$DK44,$AF$4:$DK$4,Jahresscheiben!G$2)/2,0)</f>
        <v>0</v>
      </c>
      <c r="ED44" s="85">
        <f>IF($A44="x",$L44*SUMIFS($AF44:$DK44,$AF$4:$DK$4,Jahresscheiben!H$2)/2,0)</f>
        <v>0</v>
      </c>
      <c r="EE44" s="85">
        <f>IF($A44="x",$L44*SUMIFS($AF44:$DK44,$AF$4:$DK$4,Jahresscheiben!I$2)/2,0)</f>
        <v>0</v>
      </c>
      <c r="EF44" s="85"/>
      <c r="EG44" s="61">
        <f t="shared" si="55"/>
        <v>39</v>
      </c>
      <c r="EH44" s="85" cm="1">
        <f t="array" ref="EH4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44" s="85" cm="1">
        <f t="array" ref="EI4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44" s="85" cm="1">
        <f t="array" ref="EJ4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44" s="85" cm="1">
        <f t="array" ref="EK4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44" s="85" cm="1">
        <f t="array" ref="EL4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44" s="85" cm="1">
        <f t="array" ref="EM4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44" s="85" cm="1">
        <f t="array" ref="EN4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44" s="85"/>
      <c r="EQ44" s="61">
        <f t="shared" si="56"/>
        <v>39</v>
      </c>
      <c r="ER44" s="62">
        <f>IF($A44&lt;&gt;"x",$P44*SUMIFS($AF44:$DK44,$AF$4:$DK$4,Jahresscheiben!C$2),0)</f>
        <v>0</v>
      </c>
      <c r="ES44" s="62">
        <f>IF($A44&lt;&gt;"x",$P44*SUMIFS($AF44:$DK44,$AF$4:$DK$4,Jahresscheiben!D$2),0)</f>
        <v>0</v>
      </c>
      <c r="ET44" s="62">
        <f>IF($A44&lt;&gt;"x",$P44*SUMIFS($AF44:$DK44,$AF$4:$DK$4,Jahresscheiben!E$2),0)</f>
        <v>0</v>
      </c>
      <c r="EU44" s="62">
        <f>IF($A44&lt;&gt;"x",$P44*SUMIFS($AF44:$DK44,$AF$4:$DK$4,Jahresscheiben!F$2),0)</f>
        <v>0</v>
      </c>
      <c r="EV44" s="62">
        <f>IF($A44&lt;&gt;"x",$P44*SUMIFS($AF44:$DK44,$AF$4:$DK$4,Jahresscheiben!G$2),0)</f>
        <v>0</v>
      </c>
      <c r="EW44" s="62">
        <f>IF($A44&lt;&gt;"x",$P44*SUMIFS($AF44:$DK44,$AF$4:$DK$4,Jahresscheiben!H$2),0)</f>
        <v>0</v>
      </c>
      <c r="EX44" s="62">
        <f>IF($A44&lt;&gt;"x",$P44*SUMIFS($AF44:$DK44,$AF$4:$DK$4,Jahresscheiben!I$2),0)</f>
        <v>0</v>
      </c>
      <c r="EY44" s="85"/>
      <c r="EZ44" s="61">
        <f t="shared" si="57"/>
        <v>39</v>
      </c>
      <c r="FA44" s="85">
        <f>IF($A44="x",$P44*SUMIFS($AF44:$DK44,$AF$4:$DK$4,Jahresscheiben!C$2)/2,0)</f>
        <v>0</v>
      </c>
      <c r="FB44" s="85">
        <f>IF($A44="x",$P44*SUMIFS($AF44:$DK44,$AF$4:$DK$4,Jahresscheiben!D$2)/2,0)</f>
        <v>0</v>
      </c>
      <c r="FC44" s="85">
        <f>IF($A44="x",$P44*SUMIFS($AF44:$DK44,$AF$4:$DK$4,Jahresscheiben!E$2)/2,0)</f>
        <v>0</v>
      </c>
      <c r="FD44" s="85">
        <f>IF($A44="x",$P44*SUMIFS($AF44:$DK44,$AF$4:$DK$4,Jahresscheiben!F$2)/2,0)</f>
        <v>0</v>
      </c>
      <c r="FE44" s="85">
        <f>IF($A44="x",$P44*SUMIFS($AF44:$DK44,$AF$4:$DK$4,Jahresscheiben!G$2)/2,0)</f>
        <v>0</v>
      </c>
      <c r="FF44" s="85">
        <f>IF($A44="x",$P44*SUMIFS($AF44:$DK44,$AF$4:$DK$4,Jahresscheiben!H$2)/2,0)</f>
        <v>0</v>
      </c>
      <c r="FG44" s="85">
        <f>IF($A44="x",$P44*SUMIFS($AF44:$DK44,$AF$4:$DK$4,Jahresscheiben!I$2)/2,0)</f>
        <v>0</v>
      </c>
      <c r="FH44" s="85"/>
      <c r="FI44" s="61">
        <f t="shared" si="58"/>
        <v>39</v>
      </c>
      <c r="FJ44" s="85" cm="1">
        <f t="array" ref="FJ4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44" s="85" cm="1">
        <f t="array" ref="FK4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44" s="85" cm="1">
        <f t="array" ref="FL4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44" s="85" cm="1">
        <f t="array" ref="FM4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44" s="85" cm="1">
        <f t="array" ref="FN4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44" s="85" cm="1">
        <f t="array" ref="FO4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44" s="85" cm="1">
        <f t="array" ref="FP4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45" spans="1:172" ht="17" hidden="1" customHeight="1" thickBot="1" x14ac:dyDescent="0.55000000000000004">
      <c r="A45" s="30" t="s">
        <v>24</v>
      </c>
      <c r="B45" s="31">
        <f t="shared" si="90"/>
        <v>0</v>
      </c>
      <c r="C45" s="22">
        <f t="shared" si="51"/>
        <v>40</v>
      </c>
      <c r="D45" s="71"/>
      <c r="E45" s="26"/>
      <c r="F45" s="26"/>
      <c r="G45" s="26"/>
      <c r="H45" s="26"/>
      <c r="I45" s="6" t="str">
        <f t="shared" si="91"/>
        <v/>
      </c>
      <c r="J45" s="6" t="str">
        <f t="shared" si="92"/>
        <v/>
      </c>
      <c r="K45" s="26"/>
      <c r="L45" s="53">
        <v>1</v>
      </c>
      <c r="M45" s="60" cm="1">
        <f t="array" ref="M45" xml:space="preserve">
_xlfn.LET(
_xlpm.Z, _xlfn._xlws.FILTER($DY$6:$EE$65,$DX$6:$DX$65=C45),
_xlpm.Q,_xlfn._xlws.FILTER($DP$6:$DV$65,$DO$6:$DO$65=C45),
IF($A45="x",SUMPRODUCT(_xlpm.Z,$DY$73:$EE$73,EH45:EN45),SUMPRODUCT(_xlpm.Q,$DP$73:$DV$73)))</f>
        <v>0</v>
      </c>
      <c r="N45" s="54" t="str" cm="1">
        <f t="array" ref="N45" xml:space="preserve">
_xlfn.LET(
_xlpm.Z, SUM(IF($A45="x",_xlfn._xlws.FILTER($M$6:$M$65,$A$6:$A$65="x"),_xlfn._xlws.FILTER($M$6:$M$65,$A$6:$A$65&lt;&gt;"x"))),
IF(_xlpm.Z&lt;&gt;0,M45/_xlpm.Z,""))</f>
        <v/>
      </c>
      <c r="O45" s="26"/>
      <c r="P45" s="53">
        <f t="shared" si="93"/>
        <v>1</v>
      </c>
      <c r="Q45" s="60" cm="1">
        <f t="array" ref="Q45" xml:space="preserve">
_xlfn.LET(
_xlpm.Z, _xlfn._xlws.FILTER($FA$6:$FG$65,$EZ$6:$EZ$65=C45),
_xlpm.Q,_xlfn._xlws.FILTER($ER$6:$EX$65,$EQ$6:$EQ$65=C45),
IF($A45="x",SUMPRODUCT(_xlpm.Z,$FA$73:$FG$73,FJ45:FP45),SUMPRODUCT(_xlpm.Q,$ER$73:$EX$73)))</f>
        <v>0</v>
      </c>
      <c r="R45" s="54" t="str" cm="1">
        <f t="array" ref="R45" xml:space="preserve">
_xlfn.LET(
_xlpm.Z, SUM(IF($A45="x",_xlfn._xlws.FILTER($Q$6:$Q$65,$A$6:$A$65="x"),_xlfn._xlws.FILTER($Q$6:$Q$65,$A$6:$A$65&lt;&gt;"x"))),
IF(_xlpm.Z&lt;&gt;0,Q45/_xlpm.Z,""))</f>
        <v/>
      </c>
      <c r="S45" s="26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8"/>
      <c r="AE45" s="28"/>
      <c r="AF45" s="23" t="str">
        <f t="shared" si="67"/>
        <v/>
      </c>
      <c r="AG45" s="23" t="str">
        <f t="shared" si="67"/>
        <v/>
      </c>
      <c r="AH45" s="23" t="str">
        <f t="shared" si="67"/>
        <v/>
      </c>
      <c r="AI45" s="23" t="str">
        <f t="shared" si="67"/>
        <v/>
      </c>
      <c r="AJ45" s="23" t="str">
        <f t="shared" si="67"/>
        <v/>
      </c>
      <c r="AK45" s="23" t="str">
        <f t="shared" si="67"/>
        <v/>
      </c>
      <c r="AL45" s="23" t="str">
        <f t="shared" si="67"/>
        <v/>
      </c>
      <c r="AM45" s="23" t="str">
        <f t="shared" si="67"/>
        <v/>
      </c>
      <c r="AN45" s="23" t="str">
        <f t="shared" si="67"/>
        <v/>
      </c>
      <c r="AO45" s="23" t="str">
        <f t="shared" si="67"/>
        <v/>
      </c>
      <c r="AP45" s="23" t="str">
        <f t="shared" si="68"/>
        <v/>
      </c>
      <c r="AQ45" s="23" t="str">
        <f t="shared" si="68"/>
        <v/>
      </c>
      <c r="AR45" s="23" t="str">
        <f t="shared" si="68"/>
        <v/>
      </c>
      <c r="AS45" s="23" t="str">
        <f t="shared" si="68"/>
        <v/>
      </c>
      <c r="AT45" s="23" t="str">
        <f t="shared" si="68"/>
        <v/>
      </c>
      <c r="AU45" s="23" t="str">
        <f t="shared" si="68"/>
        <v/>
      </c>
      <c r="AV45" s="23" t="str">
        <f t="shared" si="68"/>
        <v/>
      </c>
      <c r="AW45" s="23" t="str">
        <f t="shared" si="68"/>
        <v/>
      </c>
      <c r="AX45" s="23" t="str">
        <f t="shared" si="68"/>
        <v/>
      </c>
      <c r="AY45" s="23" t="str">
        <f t="shared" si="68"/>
        <v/>
      </c>
      <c r="AZ45" s="23" t="str">
        <f t="shared" si="69"/>
        <v/>
      </c>
      <c r="BA45" s="23" t="str">
        <f t="shared" si="69"/>
        <v/>
      </c>
      <c r="BB45" s="23" t="str">
        <f t="shared" si="69"/>
        <v/>
      </c>
      <c r="BC45" s="23" t="str">
        <f t="shared" si="69"/>
        <v/>
      </c>
      <c r="BD45" s="23" t="str">
        <f t="shared" si="69"/>
        <v/>
      </c>
      <c r="BE45" s="23" t="str">
        <f t="shared" si="69"/>
        <v/>
      </c>
      <c r="BF45" s="23" t="str">
        <f t="shared" si="69"/>
        <v/>
      </c>
      <c r="BG45" s="23" t="str">
        <f t="shared" si="69"/>
        <v/>
      </c>
      <c r="BH45" s="23" t="str">
        <f t="shared" si="69"/>
        <v/>
      </c>
      <c r="BI45" s="23" t="str">
        <f t="shared" si="69"/>
        <v/>
      </c>
      <c r="BJ45" s="23" t="str">
        <f t="shared" si="70"/>
        <v/>
      </c>
      <c r="BK45" s="23" t="str">
        <f t="shared" si="70"/>
        <v/>
      </c>
      <c r="BL45" s="23" t="str">
        <f t="shared" si="70"/>
        <v/>
      </c>
      <c r="BM45" s="23" t="str">
        <f t="shared" si="70"/>
        <v/>
      </c>
      <c r="BN45" s="23" t="str">
        <f t="shared" si="70"/>
        <v/>
      </c>
      <c r="BO45" s="23" t="str">
        <f t="shared" si="70"/>
        <v/>
      </c>
      <c r="BP45" s="23" t="str">
        <f t="shared" si="70"/>
        <v/>
      </c>
      <c r="BQ45" s="23" t="str">
        <f t="shared" si="70"/>
        <v/>
      </c>
      <c r="BR45" s="23" t="str">
        <f t="shared" si="70"/>
        <v/>
      </c>
      <c r="BS45" s="23" t="str">
        <f t="shared" si="70"/>
        <v/>
      </c>
      <c r="BT45" s="23" t="str">
        <f t="shared" si="71"/>
        <v/>
      </c>
      <c r="BU45" s="23" t="str">
        <f t="shared" si="71"/>
        <v/>
      </c>
      <c r="BV45" s="23" t="str">
        <f t="shared" si="71"/>
        <v/>
      </c>
      <c r="BW45" s="23" t="str">
        <f t="shared" si="71"/>
        <v/>
      </c>
      <c r="BX45" s="23" t="str">
        <f t="shared" si="71"/>
        <v/>
      </c>
      <c r="BY45" s="23" t="str">
        <f t="shared" si="71"/>
        <v/>
      </c>
      <c r="BZ45" s="23" t="str">
        <f t="shared" si="71"/>
        <v/>
      </c>
      <c r="CA45" s="23" t="str">
        <f t="shared" si="71"/>
        <v/>
      </c>
      <c r="CB45" s="23" t="str">
        <f t="shared" si="71"/>
        <v/>
      </c>
      <c r="CC45" s="23" t="str">
        <f t="shared" si="71"/>
        <v/>
      </c>
      <c r="CD45" s="23" t="str">
        <f t="shared" si="72"/>
        <v/>
      </c>
      <c r="CE45" s="23" t="str">
        <f t="shared" si="72"/>
        <v/>
      </c>
      <c r="CF45" s="23" t="str">
        <f t="shared" si="72"/>
        <v/>
      </c>
      <c r="CG45" s="23" t="str">
        <f t="shared" si="72"/>
        <v/>
      </c>
      <c r="CH45" s="23" t="str">
        <f t="shared" si="72"/>
        <v/>
      </c>
      <c r="CI45" s="23" t="str">
        <f t="shared" si="72"/>
        <v/>
      </c>
      <c r="CJ45" s="23" t="str">
        <f t="shared" si="72"/>
        <v/>
      </c>
      <c r="CK45" s="23" t="str">
        <f t="shared" si="72"/>
        <v/>
      </c>
      <c r="CL45" s="23" t="str">
        <f t="shared" si="72"/>
        <v/>
      </c>
      <c r="CM45" s="23" t="str">
        <f t="shared" si="72"/>
        <v/>
      </c>
      <c r="CN45" s="23" t="str">
        <f t="shared" si="73"/>
        <v/>
      </c>
      <c r="CO45" s="23" t="str">
        <f t="shared" si="73"/>
        <v/>
      </c>
      <c r="CP45" s="23" t="str">
        <f t="shared" si="73"/>
        <v/>
      </c>
      <c r="CQ45" s="23" t="str">
        <f t="shared" si="73"/>
        <v/>
      </c>
      <c r="CR45" s="23" t="str">
        <f t="shared" si="73"/>
        <v/>
      </c>
      <c r="CS45" s="23" t="str">
        <f t="shared" si="73"/>
        <v/>
      </c>
      <c r="CT45" s="23" t="str">
        <f t="shared" si="73"/>
        <v/>
      </c>
      <c r="CU45" s="23" t="str">
        <f t="shared" si="73"/>
        <v/>
      </c>
      <c r="CV45" s="23" t="str">
        <f t="shared" si="73"/>
        <v/>
      </c>
      <c r="CW45" s="23" t="str">
        <f t="shared" si="73"/>
        <v/>
      </c>
      <c r="CX45" s="23" t="str">
        <f t="shared" si="74"/>
        <v/>
      </c>
      <c r="CY45" s="23" t="str">
        <f t="shared" si="74"/>
        <v/>
      </c>
      <c r="CZ45" s="23" t="str">
        <f t="shared" si="74"/>
        <v/>
      </c>
      <c r="DA45" s="23" t="str">
        <f t="shared" si="74"/>
        <v/>
      </c>
      <c r="DB45" s="23" t="str">
        <f t="shared" si="74"/>
        <v/>
      </c>
      <c r="DC45" s="23" t="str">
        <f t="shared" si="74"/>
        <v/>
      </c>
      <c r="DD45" s="23" t="str">
        <f t="shared" si="74"/>
        <v/>
      </c>
      <c r="DE45" s="23" t="str">
        <f t="shared" si="74"/>
        <v/>
      </c>
      <c r="DF45" s="23" t="str">
        <f t="shared" si="74"/>
        <v/>
      </c>
      <c r="DG45" s="23" t="str">
        <f t="shared" si="74"/>
        <v/>
      </c>
      <c r="DH45" s="23" t="str">
        <f t="shared" si="74"/>
        <v/>
      </c>
      <c r="DI45" s="23" t="str">
        <f t="shared" si="74"/>
        <v/>
      </c>
      <c r="DJ45" s="23" t="str">
        <f t="shared" si="74"/>
        <v/>
      </c>
      <c r="DK45" s="23" t="str">
        <f t="shared" si="74"/>
        <v/>
      </c>
      <c r="DO45" s="61">
        <f t="shared" si="53"/>
        <v>40</v>
      </c>
      <c r="DP45" s="61">
        <f>IF($A45&lt;&gt;"x",$L45*SUMIFS($AF45:$DK45,$AF$4:$DK$4,Jahresscheiben!C$2),0)</f>
        <v>0</v>
      </c>
      <c r="DQ45" s="61">
        <f>IF($A45&lt;&gt;"x",$L45*SUMIFS($AF45:$DK45,$AF$4:$DK$4,Jahresscheiben!D$2),0)</f>
        <v>0</v>
      </c>
      <c r="DR45" s="61">
        <f>IF($A45&lt;&gt;"x",$L45*SUMIFS($AF45:$DK45,$AF$4:$DK$4,Jahresscheiben!E$2),0)</f>
        <v>0</v>
      </c>
      <c r="DS45" s="61">
        <f>IF($A45&lt;&gt;"x",$L45*SUMIFS($AF45:$DK45,$AF$4:$DK$4,Jahresscheiben!F$2),0)</f>
        <v>0</v>
      </c>
      <c r="DT45" s="61">
        <f>IF($A45&lt;&gt;"x",$L45*SUMIFS($AF45:$DK45,$AF$4:$DK$4,Jahresscheiben!G$2),0)</f>
        <v>0</v>
      </c>
      <c r="DU45" s="61">
        <f>IF($A45&lt;&gt;"x",$L45*SUMIFS($AF45:$DK45,$AF$4:$DK$4,Jahresscheiben!H$2),0)</f>
        <v>0</v>
      </c>
      <c r="DV45" s="61">
        <f>IF($A45&lt;&gt;"x",$L45*SUMIFS($AF45:$DK45,$AF$4:$DK$4,Jahresscheiben!I$2),0)</f>
        <v>0</v>
      </c>
      <c r="DW45" s="85"/>
      <c r="DX45" s="61">
        <f t="shared" si="54"/>
        <v>40</v>
      </c>
      <c r="DY45" s="85">
        <f>IF($A45="x",$L45*SUMIFS($AF45:$DK45,$AF$4:$DK$4,Jahresscheiben!C$2)/2,0)</f>
        <v>0</v>
      </c>
      <c r="DZ45" s="85">
        <f>IF($A45="x",$L45*SUMIFS($AF45:$DK45,$AF$4:$DK$4,Jahresscheiben!D$2)/2,0)</f>
        <v>0</v>
      </c>
      <c r="EA45" s="85">
        <f>IF($A45="x",$L45*SUMIFS($AF45:$DK45,$AF$4:$DK$4,Jahresscheiben!E$2)/2,0)</f>
        <v>0</v>
      </c>
      <c r="EB45" s="85">
        <f>IF($A45="x",$L45*SUMIFS($AF45:$DK45,$AF$4:$DK$4,Jahresscheiben!F$2)/2,0)</f>
        <v>0</v>
      </c>
      <c r="EC45" s="85">
        <f>IF($A45="x",$L45*SUMIFS($AF45:$DK45,$AF$4:$DK$4,Jahresscheiben!G$2)/2,0)</f>
        <v>0</v>
      </c>
      <c r="ED45" s="85">
        <f>IF($A45="x",$L45*SUMIFS($AF45:$DK45,$AF$4:$DK$4,Jahresscheiben!H$2)/2,0)</f>
        <v>0</v>
      </c>
      <c r="EE45" s="85">
        <f>IF($A45="x",$L45*SUMIFS($AF45:$DK45,$AF$4:$DK$4,Jahresscheiben!I$2)/2,0)</f>
        <v>0</v>
      </c>
      <c r="EF45" s="85"/>
      <c r="EG45" s="61">
        <f t="shared" si="55"/>
        <v>40</v>
      </c>
      <c r="EH45" s="85" cm="1">
        <f t="array" ref="EH4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45" s="85" cm="1">
        <f t="array" ref="EI4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45" s="85" cm="1">
        <f t="array" ref="EJ4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45" s="85" cm="1">
        <f t="array" ref="EK4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45" s="85" cm="1">
        <f t="array" ref="EL4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45" s="85" cm="1">
        <f t="array" ref="EM4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45" s="85" cm="1">
        <f t="array" ref="EN4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45" s="85"/>
      <c r="EQ45" s="61">
        <f t="shared" si="56"/>
        <v>40</v>
      </c>
      <c r="ER45" s="62">
        <f>IF($A45&lt;&gt;"x",$P45*SUMIFS($AF45:$DK45,$AF$4:$DK$4,Jahresscheiben!C$2),0)</f>
        <v>0</v>
      </c>
      <c r="ES45" s="62">
        <f>IF($A45&lt;&gt;"x",$P45*SUMIFS($AF45:$DK45,$AF$4:$DK$4,Jahresscheiben!D$2),0)</f>
        <v>0</v>
      </c>
      <c r="ET45" s="62">
        <f>IF($A45&lt;&gt;"x",$P45*SUMIFS($AF45:$DK45,$AF$4:$DK$4,Jahresscheiben!E$2),0)</f>
        <v>0</v>
      </c>
      <c r="EU45" s="62">
        <f>IF($A45&lt;&gt;"x",$P45*SUMIFS($AF45:$DK45,$AF$4:$DK$4,Jahresscheiben!F$2),0)</f>
        <v>0</v>
      </c>
      <c r="EV45" s="62">
        <f>IF($A45&lt;&gt;"x",$P45*SUMIFS($AF45:$DK45,$AF$4:$DK$4,Jahresscheiben!G$2),0)</f>
        <v>0</v>
      </c>
      <c r="EW45" s="62">
        <f>IF($A45&lt;&gt;"x",$P45*SUMIFS($AF45:$DK45,$AF$4:$DK$4,Jahresscheiben!H$2),0)</f>
        <v>0</v>
      </c>
      <c r="EX45" s="62">
        <f>IF($A45&lt;&gt;"x",$P45*SUMIFS($AF45:$DK45,$AF$4:$DK$4,Jahresscheiben!I$2),0)</f>
        <v>0</v>
      </c>
      <c r="EY45" s="85"/>
      <c r="EZ45" s="61">
        <f t="shared" si="57"/>
        <v>40</v>
      </c>
      <c r="FA45" s="85">
        <f>IF($A45="x",$P45*SUMIFS($AF45:$DK45,$AF$4:$DK$4,Jahresscheiben!C$2)/2,0)</f>
        <v>0</v>
      </c>
      <c r="FB45" s="85">
        <f>IF($A45="x",$P45*SUMIFS($AF45:$DK45,$AF$4:$DK$4,Jahresscheiben!D$2)/2,0)</f>
        <v>0</v>
      </c>
      <c r="FC45" s="85">
        <f>IF($A45="x",$P45*SUMIFS($AF45:$DK45,$AF$4:$DK$4,Jahresscheiben!E$2)/2,0)</f>
        <v>0</v>
      </c>
      <c r="FD45" s="85">
        <f>IF($A45="x",$P45*SUMIFS($AF45:$DK45,$AF$4:$DK$4,Jahresscheiben!F$2)/2,0)</f>
        <v>0</v>
      </c>
      <c r="FE45" s="85">
        <f>IF($A45="x",$P45*SUMIFS($AF45:$DK45,$AF$4:$DK$4,Jahresscheiben!G$2)/2,0)</f>
        <v>0</v>
      </c>
      <c r="FF45" s="85">
        <f>IF($A45="x",$P45*SUMIFS($AF45:$DK45,$AF$4:$DK$4,Jahresscheiben!H$2)/2,0)</f>
        <v>0</v>
      </c>
      <c r="FG45" s="85">
        <f>IF($A45="x",$P45*SUMIFS($AF45:$DK45,$AF$4:$DK$4,Jahresscheiben!I$2)/2,0)</f>
        <v>0</v>
      </c>
      <c r="FH45" s="85"/>
      <c r="FI45" s="61">
        <f t="shared" si="58"/>
        <v>40</v>
      </c>
      <c r="FJ45" s="85" cm="1">
        <f t="array" ref="FJ4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45" s="85" cm="1">
        <f t="array" ref="FK4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45" s="85" cm="1">
        <f t="array" ref="FL4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45" s="85" cm="1">
        <f t="array" ref="FM4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45" s="85" cm="1">
        <f t="array" ref="FN4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45" s="85" cm="1">
        <f t="array" ref="FO4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45" s="85" cm="1">
        <f t="array" ref="FP4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46" spans="1:172" ht="17" hidden="1" customHeight="1" thickBot="1" x14ac:dyDescent="0.55000000000000004">
      <c r="A46" s="30" t="s">
        <v>24</v>
      </c>
      <c r="B46" s="31">
        <f t="shared" si="90"/>
        <v>0</v>
      </c>
      <c r="C46" s="22">
        <f t="shared" si="51"/>
        <v>41</v>
      </c>
      <c r="D46" s="70"/>
      <c r="E46" s="7"/>
      <c r="F46" s="7"/>
      <c r="G46" s="7"/>
      <c r="H46" s="7"/>
      <c r="I46" s="6" t="str">
        <f t="shared" si="91"/>
        <v/>
      </c>
      <c r="J46" s="6" t="str">
        <f t="shared" si="92"/>
        <v/>
      </c>
      <c r="K46" s="7"/>
      <c r="L46" s="53">
        <v>1</v>
      </c>
      <c r="M46" s="60" cm="1">
        <f t="array" ref="M46" xml:space="preserve">
_xlfn.LET(
_xlpm.Z, _xlfn._xlws.FILTER($DY$6:$EE$65,$DX$6:$DX$65=C46),
_xlpm.Q,_xlfn._xlws.FILTER($DP$6:$DV$65,$DO$6:$DO$65=C46),
IF($A46="x",SUMPRODUCT(_xlpm.Z,$DY$73:$EE$73,EH46:EN46),SUMPRODUCT(_xlpm.Q,$DP$73:$DV$73)))</f>
        <v>0</v>
      </c>
      <c r="N46" s="54" t="str" cm="1">
        <f t="array" ref="N46" xml:space="preserve">
_xlfn.LET(
_xlpm.Z, SUM(IF($A46="x",_xlfn._xlws.FILTER($M$6:$M$65,$A$6:$A$65="x"),_xlfn._xlws.FILTER($M$6:$M$65,$A$6:$A$65&lt;&gt;"x"))),
IF(_xlpm.Z&lt;&gt;0,M46/_xlpm.Z,""))</f>
        <v/>
      </c>
      <c r="O46" s="7"/>
      <c r="P46" s="53">
        <f t="shared" si="93"/>
        <v>1</v>
      </c>
      <c r="Q46" s="60" cm="1">
        <f t="array" ref="Q46" xml:space="preserve">
_xlfn.LET(
_xlpm.Z, _xlfn._xlws.FILTER($FA$6:$FG$65,$EZ$6:$EZ$65=C46),
_xlpm.Q,_xlfn._xlws.FILTER($ER$6:$EX$65,$EQ$6:$EQ$65=C46),
IF($A46="x",SUMPRODUCT(_xlpm.Z,$FA$73:$FG$73,FJ46:FP46),SUMPRODUCT(_xlpm.Q,$ER$73:$EX$73)))</f>
        <v>0</v>
      </c>
      <c r="R46" s="54" t="str" cm="1">
        <f t="array" ref="R46" xml:space="preserve">
_xlfn.LET(
_xlpm.Z, SUM(IF($A46="x",_xlfn._xlws.FILTER($Q$6:$Q$65,$A$6:$A$65="x"),_xlfn._xlws.FILTER($Q$6:$Q$65,$A$6:$A$65&lt;&gt;"x"))),
IF(_xlpm.Z&lt;&gt;0,Q46/_xlpm.Z,""))</f>
        <v/>
      </c>
      <c r="S46" s="7"/>
      <c r="T46" s="6"/>
      <c r="U46" s="6"/>
      <c r="V46" s="6"/>
      <c r="W46" s="6"/>
      <c r="X46" s="6"/>
      <c r="Y46" s="6"/>
      <c r="Z46" s="6"/>
      <c r="AA46" s="6"/>
      <c r="AB46" s="6"/>
      <c r="AC46" s="6"/>
      <c r="AD46" s="7"/>
      <c r="AE46" s="7"/>
      <c r="AF46" s="23" t="str">
        <f t="shared" si="67"/>
        <v/>
      </c>
      <c r="AG46" s="23" t="str">
        <f t="shared" si="67"/>
        <v/>
      </c>
      <c r="AH46" s="23" t="str">
        <f t="shared" si="67"/>
        <v/>
      </c>
      <c r="AI46" s="23" t="str">
        <f t="shared" si="67"/>
        <v/>
      </c>
      <c r="AJ46" s="23" t="str">
        <f t="shared" si="67"/>
        <v/>
      </c>
      <c r="AK46" s="23" t="str">
        <f t="shared" si="67"/>
        <v/>
      </c>
      <c r="AL46" s="23" t="str">
        <f t="shared" si="67"/>
        <v/>
      </c>
      <c r="AM46" s="23" t="str">
        <f t="shared" si="67"/>
        <v/>
      </c>
      <c r="AN46" s="23" t="str">
        <f t="shared" si="67"/>
        <v/>
      </c>
      <c r="AO46" s="23" t="str">
        <f t="shared" si="67"/>
        <v/>
      </c>
      <c r="AP46" s="23" t="str">
        <f t="shared" si="68"/>
        <v/>
      </c>
      <c r="AQ46" s="23" t="str">
        <f t="shared" si="68"/>
        <v/>
      </c>
      <c r="AR46" s="23" t="str">
        <f t="shared" si="68"/>
        <v/>
      </c>
      <c r="AS46" s="23" t="str">
        <f t="shared" si="68"/>
        <v/>
      </c>
      <c r="AT46" s="23" t="str">
        <f t="shared" si="68"/>
        <v/>
      </c>
      <c r="AU46" s="23" t="str">
        <f t="shared" si="68"/>
        <v/>
      </c>
      <c r="AV46" s="23" t="str">
        <f t="shared" si="68"/>
        <v/>
      </c>
      <c r="AW46" s="23" t="str">
        <f t="shared" si="68"/>
        <v/>
      </c>
      <c r="AX46" s="23" t="str">
        <f t="shared" si="68"/>
        <v/>
      </c>
      <c r="AY46" s="23" t="str">
        <f t="shared" si="68"/>
        <v/>
      </c>
      <c r="AZ46" s="23" t="str">
        <f t="shared" si="69"/>
        <v/>
      </c>
      <c r="BA46" s="23" t="str">
        <f t="shared" si="69"/>
        <v/>
      </c>
      <c r="BB46" s="23" t="str">
        <f t="shared" si="69"/>
        <v/>
      </c>
      <c r="BC46" s="23" t="str">
        <f t="shared" si="69"/>
        <v/>
      </c>
      <c r="BD46" s="23" t="str">
        <f t="shared" si="69"/>
        <v/>
      </c>
      <c r="BE46" s="23" t="str">
        <f t="shared" si="69"/>
        <v/>
      </c>
      <c r="BF46" s="23" t="str">
        <f t="shared" si="69"/>
        <v/>
      </c>
      <c r="BG46" s="23" t="str">
        <f t="shared" si="69"/>
        <v/>
      </c>
      <c r="BH46" s="23" t="str">
        <f t="shared" si="69"/>
        <v/>
      </c>
      <c r="BI46" s="23" t="str">
        <f t="shared" si="69"/>
        <v/>
      </c>
      <c r="BJ46" s="23" t="str">
        <f t="shared" si="70"/>
        <v/>
      </c>
      <c r="BK46" s="23" t="str">
        <f t="shared" si="70"/>
        <v/>
      </c>
      <c r="BL46" s="23" t="str">
        <f t="shared" si="70"/>
        <v/>
      </c>
      <c r="BM46" s="23" t="str">
        <f t="shared" si="70"/>
        <v/>
      </c>
      <c r="BN46" s="23" t="str">
        <f t="shared" si="70"/>
        <v/>
      </c>
      <c r="BO46" s="23" t="str">
        <f t="shared" si="70"/>
        <v/>
      </c>
      <c r="BP46" s="23" t="str">
        <f t="shared" si="70"/>
        <v/>
      </c>
      <c r="BQ46" s="23" t="str">
        <f t="shared" si="70"/>
        <v/>
      </c>
      <c r="BR46" s="23" t="str">
        <f t="shared" si="70"/>
        <v/>
      </c>
      <c r="BS46" s="23" t="str">
        <f t="shared" si="70"/>
        <v/>
      </c>
      <c r="BT46" s="23" t="str">
        <f t="shared" si="71"/>
        <v/>
      </c>
      <c r="BU46" s="23" t="str">
        <f t="shared" si="71"/>
        <v/>
      </c>
      <c r="BV46" s="23" t="str">
        <f t="shared" si="71"/>
        <v/>
      </c>
      <c r="BW46" s="23" t="str">
        <f t="shared" si="71"/>
        <v/>
      </c>
      <c r="BX46" s="23" t="str">
        <f t="shared" si="71"/>
        <v/>
      </c>
      <c r="BY46" s="23" t="str">
        <f t="shared" si="71"/>
        <v/>
      </c>
      <c r="BZ46" s="23" t="str">
        <f t="shared" si="71"/>
        <v/>
      </c>
      <c r="CA46" s="23" t="str">
        <f t="shared" si="71"/>
        <v/>
      </c>
      <c r="CB46" s="23" t="str">
        <f t="shared" si="71"/>
        <v/>
      </c>
      <c r="CC46" s="23" t="str">
        <f t="shared" si="71"/>
        <v/>
      </c>
      <c r="CD46" s="23" t="str">
        <f t="shared" si="72"/>
        <v/>
      </c>
      <c r="CE46" s="23" t="str">
        <f t="shared" si="72"/>
        <v/>
      </c>
      <c r="CF46" s="23" t="str">
        <f t="shared" si="72"/>
        <v/>
      </c>
      <c r="CG46" s="23" t="str">
        <f t="shared" si="72"/>
        <v/>
      </c>
      <c r="CH46" s="23" t="str">
        <f t="shared" si="72"/>
        <v/>
      </c>
      <c r="CI46" s="23" t="str">
        <f t="shared" si="72"/>
        <v/>
      </c>
      <c r="CJ46" s="23" t="str">
        <f t="shared" si="72"/>
        <v/>
      </c>
      <c r="CK46" s="23" t="str">
        <f t="shared" si="72"/>
        <v/>
      </c>
      <c r="CL46" s="23" t="str">
        <f t="shared" si="72"/>
        <v/>
      </c>
      <c r="CM46" s="23" t="str">
        <f t="shared" si="72"/>
        <v/>
      </c>
      <c r="CN46" s="23" t="str">
        <f t="shared" si="73"/>
        <v/>
      </c>
      <c r="CO46" s="23" t="str">
        <f t="shared" si="73"/>
        <v/>
      </c>
      <c r="CP46" s="23" t="str">
        <f t="shared" si="73"/>
        <v/>
      </c>
      <c r="CQ46" s="23" t="str">
        <f t="shared" si="73"/>
        <v/>
      </c>
      <c r="CR46" s="23" t="str">
        <f t="shared" si="73"/>
        <v/>
      </c>
      <c r="CS46" s="23" t="str">
        <f t="shared" si="73"/>
        <v/>
      </c>
      <c r="CT46" s="23" t="str">
        <f t="shared" si="73"/>
        <v/>
      </c>
      <c r="CU46" s="23" t="str">
        <f t="shared" si="73"/>
        <v/>
      </c>
      <c r="CV46" s="23" t="str">
        <f t="shared" si="73"/>
        <v/>
      </c>
      <c r="CW46" s="23" t="str">
        <f t="shared" si="73"/>
        <v/>
      </c>
      <c r="CX46" s="23" t="str">
        <f t="shared" si="74"/>
        <v/>
      </c>
      <c r="CY46" s="23" t="str">
        <f t="shared" si="74"/>
        <v/>
      </c>
      <c r="CZ46" s="23" t="str">
        <f t="shared" si="74"/>
        <v/>
      </c>
      <c r="DA46" s="23" t="str">
        <f t="shared" si="74"/>
        <v/>
      </c>
      <c r="DB46" s="23" t="str">
        <f t="shared" si="74"/>
        <v/>
      </c>
      <c r="DC46" s="23" t="str">
        <f t="shared" si="74"/>
        <v/>
      </c>
      <c r="DD46" s="23" t="str">
        <f t="shared" si="74"/>
        <v/>
      </c>
      <c r="DE46" s="23" t="str">
        <f t="shared" si="74"/>
        <v/>
      </c>
      <c r="DF46" s="23" t="str">
        <f t="shared" si="74"/>
        <v/>
      </c>
      <c r="DG46" s="23" t="str">
        <f t="shared" si="74"/>
        <v/>
      </c>
      <c r="DH46" s="23" t="str">
        <f t="shared" si="74"/>
        <v/>
      </c>
      <c r="DI46" s="23" t="str">
        <f t="shared" si="74"/>
        <v/>
      </c>
      <c r="DJ46" s="23" t="str">
        <f t="shared" si="74"/>
        <v/>
      </c>
      <c r="DK46" s="23" t="str">
        <f t="shared" si="74"/>
        <v/>
      </c>
      <c r="DO46" s="61">
        <f t="shared" si="53"/>
        <v>41</v>
      </c>
      <c r="DP46" s="61">
        <f>IF($A46&lt;&gt;"x",$L46*SUMIFS($AF46:$DK46,$AF$4:$DK$4,Jahresscheiben!C$2),0)</f>
        <v>0</v>
      </c>
      <c r="DQ46" s="61">
        <f>IF($A46&lt;&gt;"x",$L46*SUMIFS($AF46:$DK46,$AF$4:$DK$4,Jahresscheiben!D$2),0)</f>
        <v>0</v>
      </c>
      <c r="DR46" s="61">
        <f>IF($A46&lt;&gt;"x",$L46*SUMIFS($AF46:$DK46,$AF$4:$DK$4,Jahresscheiben!E$2),0)</f>
        <v>0</v>
      </c>
      <c r="DS46" s="61">
        <f>IF($A46&lt;&gt;"x",$L46*SUMIFS($AF46:$DK46,$AF$4:$DK$4,Jahresscheiben!F$2),0)</f>
        <v>0</v>
      </c>
      <c r="DT46" s="61">
        <f>IF($A46&lt;&gt;"x",$L46*SUMIFS($AF46:$DK46,$AF$4:$DK$4,Jahresscheiben!G$2),0)</f>
        <v>0</v>
      </c>
      <c r="DU46" s="61">
        <f>IF($A46&lt;&gt;"x",$L46*SUMIFS($AF46:$DK46,$AF$4:$DK$4,Jahresscheiben!H$2),0)</f>
        <v>0</v>
      </c>
      <c r="DV46" s="61">
        <f>IF($A46&lt;&gt;"x",$L46*SUMIFS($AF46:$DK46,$AF$4:$DK$4,Jahresscheiben!I$2),0)</f>
        <v>0</v>
      </c>
      <c r="DW46" s="85"/>
      <c r="DX46" s="61">
        <f t="shared" si="54"/>
        <v>41</v>
      </c>
      <c r="DY46" s="85">
        <f>IF($A46="x",$L46*SUMIFS($AF46:$DK46,$AF$4:$DK$4,Jahresscheiben!C$2)/2,0)</f>
        <v>0</v>
      </c>
      <c r="DZ46" s="85">
        <f>IF($A46="x",$L46*SUMIFS($AF46:$DK46,$AF$4:$DK$4,Jahresscheiben!D$2)/2,0)</f>
        <v>0</v>
      </c>
      <c r="EA46" s="85">
        <f>IF($A46="x",$L46*SUMIFS($AF46:$DK46,$AF$4:$DK$4,Jahresscheiben!E$2)/2,0)</f>
        <v>0</v>
      </c>
      <c r="EB46" s="85">
        <f>IF($A46="x",$L46*SUMIFS($AF46:$DK46,$AF$4:$DK$4,Jahresscheiben!F$2)/2,0)</f>
        <v>0</v>
      </c>
      <c r="EC46" s="85">
        <f>IF($A46="x",$L46*SUMIFS($AF46:$DK46,$AF$4:$DK$4,Jahresscheiben!G$2)/2,0)</f>
        <v>0</v>
      </c>
      <c r="ED46" s="85">
        <f>IF($A46="x",$L46*SUMIFS($AF46:$DK46,$AF$4:$DK$4,Jahresscheiben!H$2)/2,0)</f>
        <v>0</v>
      </c>
      <c r="EE46" s="85">
        <f>IF($A46="x",$L46*SUMIFS($AF46:$DK46,$AF$4:$DK$4,Jahresscheiben!I$2)/2,0)</f>
        <v>0</v>
      </c>
      <c r="EF46" s="85"/>
      <c r="EG46" s="61">
        <f t="shared" si="55"/>
        <v>41</v>
      </c>
      <c r="EH46" s="85" cm="1">
        <f t="array" ref="EH4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46" s="85" cm="1">
        <f t="array" ref="EI4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46" s="85" cm="1">
        <f t="array" ref="EJ4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46" s="85" cm="1">
        <f t="array" ref="EK4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46" s="85" cm="1">
        <f t="array" ref="EL4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46" s="85" cm="1">
        <f t="array" ref="EM4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46" s="85" cm="1">
        <f t="array" ref="EN4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46" s="85"/>
      <c r="EQ46" s="61">
        <f t="shared" si="56"/>
        <v>41</v>
      </c>
      <c r="ER46" s="62">
        <f>IF($A46&lt;&gt;"x",$P46*SUMIFS($AF46:$DK46,$AF$4:$DK$4,Jahresscheiben!C$2),0)</f>
        <v>0</v>
      </c>
      <c r="ES46" s="62">
        <f>IF($A46&lt;&gt;"x",$P46*SUMIFS($AF46:$DK46,$AF$4:$DK$4,Jahresscheiben!D$2),0)</f>
        <v>0</v>
      </c>
      <c r="ET46" s="62">
        <f>IF($A46&lt;&gt;"x",$P46*SUMIFS($AF46:$DK46,$AF$4:$DK$4,Jahresscheiben!E$2),0)</f>
        <v>0</v>
      </c>
      <c r="EU46" s="62">
        <f>IF($A46&lt;&gt;"x",$P46*SUMIFS($AF46:$DK46,$AF$4:$DK$4,Jahresscheiben!F$2),0)</f>
        <v>0</v>
      </c>
      <c r="EV46" s="62">
        <f>IF($A46&lt;&gt;"x",$P46*SUMIFS($AF46:$DK46,$AF$4:$DK$4,Jahresscheiben!G$2),0)</f>
        <v>0</v>
      </c>
      <c r="EW46" s="62">
        <f>IF($A46&lt;&gt;"x",$P46*SUMIFS($AF46:$DK46,$AF$4:$DK$4,Jahresscheiben!H$2),0)</f>
        <v>0</v>
      </c>
      <c r="EX46" s="62">
        <f>IF($A46&lt;&gt;"x",$P46*SUMIFS($AF46:$DK46,$AF$4:$DK$4,Jahresscheiben!I$2),0)</f>
        <v>0</v>
      </c>
      <c r="EY46" s="85"/>
      <c r="EZ46" s="61">
        <f t="shared" si="57"/>
        <v>41</v>
      </c>
      <c r="FA46" s="85">
        <f>IF($A46="x",$P46*SUMIFS($AF46:$DK46,$AF$4:$DK$4,Jahresscheiben!C$2)/2,0)</f>
        <v>0</v>
      </c>
      <c r="FB46" s="85">
        <f>IF($A46="x",$P46*SUMIFS($AF46:$DK46,$AF$4:$DK$4,Jahresscheiben!D$2)/2,0)</f>
        <v>0</v>
      </c>
      <c r="FC46" s="85">
        <f>IF($A46="x",$P46*SUMIFS($AF46:$DK46,$AF$4:$DK$4,Jahresscheiben!E$2)/2,0)</f>
        <v>0</v>
      </c>
      <c r="FD46" s="85">
        <f>IF($A46="x",$P46*SUMIFS($AF46:$DK46,$AF$4:$DK$4,Jahresscheiben!F$2)/2,0)</f>
        <v>0</v>
      </c>
      <c r="FE46" s="85">
        <f>IF($A46="x",$P46*SUMIFS($AF46:$DK46,$AF$4:$DK$4,Jahresscheiben!G$2)/2,0)</f>
        <v>0</v>
      </c>
      <c r="FF46" s="85">
        <f>IF($A46="x",$P46*SUMIFS($AF46:$DK46,$AF$4:$DK$4,Jahresscheiben!H$2)/2,0)</f>
        <v>0</v>
      </c>
      <c r="FG46" s="85">
        <f>IF($A46="x",$P46*SUMIFS($AF46:$DK46,$AF$4:$DK$4,Jahresscheiben!I$2)/2,0)</f>
        <v>0</v>
      </c>
      <c r="FH46" s="85"/>
      <c r="FI46" s="61">
        <f t="shared" si="58"/>
        <v>41</v>
      </c>
      <c r="FJ46" s="85" cm="1">
        <f t="array" ref="FJ4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46" s="85" cm="1">
        <f t="array" ref="FK4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46" s="85" cm="1">
        <f t="array" ref="FL4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46" s="85" cm="1">
        <f t="array" ref="FM4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46" s="85" cm="1">
        <f t="array" ref="FN4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46" s="85" cm="1">
        <f t="array" ref="FO4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46" s="85" cm="1">
        <f t="array" ref="FP4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47" spans="1:172" ht="17" hidden="1" customHeight="1" thickBot="1" x14ac:dyDescent="0.55000000000000004">
      <c r="A47" s="30" t="s">
        <v>24</v>
      </c>
      <c r="B47" s="31">
        <f t="shared" si="50"/>
        <v>0</v>
      </c>
      <c r="C47" s="22">
        <f t="shared" si="51"/>
        <v>42</v>
      </c>
      <c r="D47" s="71"/>
      <c r="E47" s="26"/>
      <c r="F47" s="26"/>
      <c r="G47" s="26"/>
      <c r="H47" s="26"/>
      <c r="I47" s="6" t="str">
        <f t="shared" si="40"/>
        <v/>
      </c>
      <c r="J47" s="6" t="str">
        <f t="shared" si="41"/>
        <v/>
      </c>
      <c r="K47" s="26"/>
      <c r="L47" s="53">
        <v>1</v>
      </c>
      <c r="M47" s="60" cm="1">
        <f t="array" ref="M47" xml:space="preserve">
_xlfn.LET(
_xlpm.Z, _xlfn._xlws.FILTER($DY$6:$EE$65,$DX$6:$DX$65=C47),
_xlpm.Q,_xlfn._xlws.FILTER($DP$6:$DV$65,$DO$6:$DO$65=C47),
IF($A47="x",SUMPRODUCT(_xlpm.Z,$DY$73:$EE$73,EH47:EN47),SUMPRODUCT(_xlpm.Q,$DP$73:$DV$73)))</f>
        <v>0</v>
      </c>
      <c r="N47" s="54" t="str" cm="1">
        <f t="array" ref="N47" xml:space="preserve">
_xlfn.LET(
_xlpm.Z, SUM(IF($A47="x",_xlfn._xlws.FILTER($M$6:$M$65,$A$6:$A$65="x"),_xlfn._xlws.FILTER($M$6:$M$65,$A$6:$A$65&lt;&gt;"x"))),
IF(_xlpm.Z&lt;&gt;0,M47/_xlpm.Z,""))</f>
        <v/>
      </c>
      <c r="O47" s="26"/>
      <c r="P47" s="53">
        <f t="shared" si="52"/>
        <v>1</v>
      </c>
      <c r="Q47" s="60" cm="1">
        <f t="array" ref="Q47" xml:space="preserve">
_xlfn.LET(
_xlpm.Z, _xlfn._xlws.FILTER($FA$6:$FG$65,$EZ$6:$EZ$65=C47),
_xlpm.Q,_xlfn._xlws.FILTER($ER$6:$EX$65,$EQ$6:$EQ$65=C47),
IF($A47="x",SUMPRODUCT(_xlpm.Z,$FA$73:$FG$73,FJ47:FP47),SUMPRODUCT(_xlpm.Q,$ER$73:$EX$73)))</f>
        <v>0</v>
      </c>
      <c r="R47" s="54" t="str" cm="1">
        <f t="array" ref="R47" xml:space="preserve">
_xlfn.LET(
_xlpm.Z, SUM(IF($A47="x",_xlfn._xlws.FILTER($Q$6:$Q$65,$A$6:$A$65="x"),_xlfn._xlws.FILTER($Q$6:$Q$65,$A$6:$A$65&lt;&gt;"x"))),
IF(_xlpm.Z&lt;&gt;0,Q47/_xlpm.Z,""))</f>
        <v/>
      </c>
      <c r="S47" s="26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8"/>
      <c r="AE47" s="28"/>
      <c r="AF47" s="23" t="str">
        <f t="shared" si="67"/>
        <v/>
      </c>
      <c r="AG47" s="23" t="str">
        <f t="shared" si="67"/>
        <v/>
      </c>
      <c r="AH47" s="23" t="str">
        <f t="shared" si="67"/>
        <v/>
      </c>
      <c r="AI47" s="23" t="str">
        <f t="shared" si="67"/>
        <v/>
      </c>
      <c r="AJ47" s="23" t="str">
        <f t="shared" si="67"/>
        <v/>
      </c>
      <c r="AK47" s="23" t="str">
        <f t="shared" si="67"/>
        <v/>
      </c>
      <c r="AL47" s="23" t="str">
        <f t="shared" si="67"/>
        <v/>
      </c>
      <c r="AM47" s="23" t="str">
        <f t="shared" si="67"/>
        <v/>
      </c>
      <c r="AN47" s="23" t="str">
        <f t="shared" si="67"/>
        <v/>
      </c>
      <c r="AO47" s="23" t="str">
        <f t="shared" si="67"/>
        <v/>
      </c>
      <c r="AP47" s="23" t="str">
        <f t="shared" si="68"/>
        <v/>
      </c>
      <c r="AQ47" s="23" t="str">
        <f t="shared" si="68"/>
        <v/>
      </c>
      <c r="AR47" s="23" t="str">
        <f t="shared" si="68"/>
        <v/>
      </c>
      <c r="AS47" s="23" t="str">
        <f t="shared" si="68"/>
        <v/>
      </c>
      <c r="AT47" s="23" t="str">
        <f t="shared" si="68"/>
        <v/>
      </c>
      <c r="AU47" s="23" t="str">
        <f t="shared" si="68"/>
        <v/>
      </c>
      <c r="AV47" s="23" t="str">
        <f t="shared" si="68"/>
        <v/>
      </c>
      <c r="AW47" s="23" t="str">
        <f t="shared" si="68"/>
        <v/>
      </c>
      <c r="AX47" s="23" t="str">
        <f t="shared" si="68"/>
        <v/>
      </c>
      <c r="AY47" s="23" t="str">
        <f t="shared" si="68"/>
        <v/>
      </c>
      <c r="AZ47" s="23" t="str">
        <f t="shared" si="69"/>
        <v/>
      </c>
      <c r="BA47" s="23" t="str">
        <f t="shared" si="69"/>
        <v/>
      </c>
      <c r="BB47" s="23" t="str">
        <f t="shared" si="69"/>
        <v/>
      </c>
      <c r="BC47" s="23" t="str">
        <f t="shared" si="69"/>
        <v/>
      </c>
      <c r="BD47" s="23" t="str">
        <f t="shared" si="69"/>
        <v/>
      </c>
      <c r="BE47" s="23" t="str">
        <f t="shared" si="69"/>
        <v/>
      </c>
      <c r="BF47" s="23" t="str">
        <f t="shared" si="69"/>
        <v/>
      </c>
      <c r="BG47" s="23" t="str">
        <f t="shared" si="69"/>
        <v/>
      </c>
      <c r="BH47" s="23" t="str">
        <f t="shared" si="69"/>
        <v/>
      </c>
      <c r="BI47" s="23" t="str">
        <f t="shared" si="69"/>
        <v/>
      </c>
      <c r="BJ47" s="23" t="str">
        <f t="shared" si="70"/>
        <v/>
      </c>
      <c r="BK47" s="23" t="str">
        <f t="shared" si="70"/>
        <v/>
      </c>
      <c r="BL47" s="23" t="str">
        <f t="shared" si="70"/>
        <v/>
      </c>
      <c r="BM47" s="23" t="str">
        <f t="shared" si="70"/>
        <v/>
      </c>
      <c r="BN47" s="23" t="str">
        <f t="shared" si="70"/>
        <v/>
      </c>
      <c r="BO47" s="23" t="str">
        <f t="shared" si="70"/>
        <v/>
      </c>
      <c r="BP47" s="23" t="str">
        <f t="shared" si="70"/>
        <v/>
      </c>
      <c r="BQ47" s="23" t="str">
        <f t="shared" si="70"/>
        <v/>
      </c>
      <c r="BR47" s="23" t="str">
        <f t="shared" si="70"/>
        <v/>
      </c>
      <c r="BS47" s="23" t="str">
        <f t="shared" si="70"/>
        <v/>
      </c>
      <c r="BT47" s="23" t="str">
        <f t="shared" si="71"/>
        <v/>
      </c>
      <c r="BU47" s="23" t="str">
        <f t="shared" si="71"/>
        <v/>
      </c>
      <c r="BV47" s="23" t="str">
        <f t="shared" si="71"/>
        <v/>
      </c>
      <c r="BW47" s="23" t="str">
        <f t="shared" si="71"/>
        <v/>
      </c>
      <c r="BX47" s="23" t="str">
        <f t="shared" si="71"/>
        <v/>
      </c>
      <c r="BY47" s="23" t="str">
        <f t="shared" si="71"/>
        <v/>
      </c>
      <c r="BZ47" s="23" t="str">
        <f t="shared" si="71"/>
        <v/>
      </c>
      <c r="CA47" s="23" t="str">
        <f t="shared" si="71"/>
        <v/>
      </c>
      <c r="CB47" s="23" t="str">
        <f t="shared" si="71"/>
        <v/>
      </c>
      <c r="CC47" s="23" t="str">
        <f t="shared" si="71"/>
        <v/>
      </c>
      <c r="CD47" s="23" t="str">
        <f t="shared" si="72"/>
        <v/>
      </c>
      <c r="CE47" s="23" t="str">
        <f t="shared" si="72"/>
        <v/>
      </c>
      <c r="CF47" s="23" t="str">
        <f t="shared" si="72"/>
        <v/>
      </c>
      <c r="CG47" s="23" t="str">
        <f t="shared" si="72"/>
        <v/>
      </c>
      <c r="CH47" s="23" t="str">
        <f t="shared" si="72"/>
        <v/>
      </c>
      <c r="CI47" s="23" t="str">
        <f t="shared" si="72"/>
        <v/>
      </c>
      <c r="CJ47" s="23" t="str">
        <f t="shared" si="72"/>
        <v/>
      </c>
      <c r="CK47" s="23" t="str">
        <f t="shared" si="72"/>
        <v/>
      </c>
      <c r="CL47" s="23" t="str">
        <f t="shared" si="72"/>
        <v/>
      </c>
      <c r="CM47" s="23" t="str">
        <f t="shared" si="72"/>
        <v/>
      </c>
      <c r="CN47" s="23" t="str">
        <f t="shared" si="73"/>
        <v/>
      </c>
      <c r="CO47" s="23" t="str">
        <f t="shared" si="73"/>
        <v/>
      </c>
      <c r="CP47" s="23" t="str">
        <f t="shared" si="73"/>
        <v/>
      </c>
      <c r="CQ47" s="23" t="str">
        <f t="shared" si="73"/>
        <v/>
      </c>
      <c r="CR47" s="23" t="str">
        <f t="shared" si="73"/>
        <v/>
      </c>
      <c r="CS47" s="23" t="str">
        <f t="shared" si="73"/>
        <v/>
      </c>
      <c r="CT47" s="23" t="str">
        <f t="shared" si="73"/>
        <v/>
      </c>
      <c r="CU47" s="23" t="str">
        <f t="shared" si="73"/>
        <v/>
      </c>
      <c r="CV47" s="23" t="str">
        <f t="shared" si="73"/>
        <v/>
      </c>
      <c r="CW47" s="23" t="str">
        <f t="shared" si="73"/>
        <v/>
      </c>
      <c r="CX47" s="23" t="str">
        <f t="shared" si="74"/>
        <v/>
      </c>
      <c r="CY47" s="23" t="str">
        <f t="shared" si="74"/>
        <v/>
      </c>
      <c r="CZ47" s="23" t="str">
        <f t="shared" si="74"/>
        <v/>
      </c>
      <c r="DA47" s="23" t="str">
        <f t="shared" si="74"/>
        <v/>
      </c>
      <c r="DB47" s="23" t="str">
        <f t="shared" si="74"/>
        <v/>
      </c>
      <c r="DC47" s="23" t="str">
        <f t="shared" si="74"/>
        <v/>
      </c>
      <c r="DD47" s="23" t="str">
        <f t="shared" si="74"/>
        <v/>
      </c>
      <c r="DE47" s="23" t="str">
        <f t="shared" si="74"/>
        <v/>
      </c>
      <c r="DF47" s="23" t="str">
        <f t="shared" si="74"/>
        <v/>
      </c>
      <c r="DG47" s="23" t="str">
        <f t="shared" si="74"/>
        <v/>
      </c>
      <c r="DH47" s="23" t="str">
        <f t="shared" si="74"/>
        <v/>
      </c>
      <c r="DI47" s="23" t="str">
        <f t="shared" si="74"/>
        <v/>
      </c>
      <c r="DJ47" s="23" t="str">
        <f t="shared" si="74"/>
        <v/>
      </c>
      <c r="DK47" s="23" t="str">
        <f t="shared" si="74"/>
        <v/>
      </c>
      <c r="DO47" s="61">
        <f t="shared" si="53"/>
        <v>42</v>
      </c>
      <c r="DP47" s="61">
        <f>IF($A47&lt;&gt;"x",$L47*SUMIFS($AF47:$DK47,$AF$4:$DK$4,Jahresscheiben!C$2),0)</f>
        <v>0</v>
      </c>
      <c r="DQ47" s="61">
        <f>IF($A47&lt;&gt;"x",$L47*SUMIFS($AF47:$DK47,$AF$4:$DK$4,Jahresscheiben!D$2),0)</f>
        <v>0</v>
      </c>
      <c r="DR47" s="61">
        <f>IF($A47&lt;&gt;"x",$L47*SUMIFS($AF47:$DK47,$AF$4:$DK$4,Jahresscheiben!E$2),0)</f>
        <v>0</v>
      </c>
      <c r="DS47" s="61">
        <f>IF($A47&lt;&gt;"x",$L47*SUMIFS($AF47:$DK47,$AF$4:$DK$4,Jahresscheiben!F$2),0)</f>
        <v>0</v>
      </c>
      <c r="DT47" s="61">
        <f>IF($A47&lt;&gt;"x",$L47*SUMIFS($AF47:$DK47,$AF$4:$DK$4,Jahresscheiben!G$2),0)</f>
        <v>0</v>
      </c>
      <c r="DU47" s="61">
        <f>IF($A47&lt;&gt;"x",$L47*SUMIFS($AF47:$DK47,$AF$4:$DK$4,Jahresscheiben!H$2),0)</f>
        <v>0</v>
      </c>
      <c r="DV47" s="61">
        <f>IF($A47&lt;&gt;"x",$L47*SUMIFS($AF47:$DK47,$AF$4:$DK$4,Jahresscheiben!I$2),0)</f>
        <v>0</v>
      </c>
      <c r="DW47" s="85"/>
      <c r="DX47" s="61">
        <f t="shared" si="54"/>
        <v>42</v>
      </c>
      <c r="DY47" s="85">
        <f>IF($A47="x",$L47*SUMIFS($AF47:$DK47,$AF$4:$DK$4,Jahresscheiben!C$2)/2,0)</f>
        <v>0</v>
      </c>
      <c r="DZ47" s="85">
        <f>IF($A47="x",$L47*SUMIFS($AF47:$DK47,$AF$4:$DK$4,Jahresscheiben!D$2)/2,0)</f>
        <v>0</v>
      </c>
      <c r="EA47" s="85">
        <f>IF($A47="x",$L47*SUMIFS($AF47:$DK47,$AF$4:$DK$4,Jahresscheiben!E$2)/2,0)</f>
        <v>0</v>
      </c>
      <c r="EB47" s="85">
        <f>IF($A47="x",$L47*SUMIFS($AF47:$DK47,$AF$4:$DK$4,Jahresscheiben!F$2)/2,0)</f>
        <v>0</v>
      </c>
      <c r="EC47" s="85">
        <f>IF($A47="x",$L47*SUMIFS($AF47:$DK47,$AF$4:$DK$4,Jahresscheiben!G$2)/2,0)</f>
        <v>0</v>
      </c>
      <c r="ED47" s="85">
        <f>IF($A47="x",$L47*SUMIFS($AF47:$DK47,$AF$4:$DK$4,Jahresscheiben!H$2)/2,0)</f>
        <v>0</v>
      </c>
      <c r="EE47" s="85">
        <f>IF($A47="x",$L47*SUMIFS($AF47:$DK47,$AF$4:$DK$4,Jahresscheiben!I$2)/2,0)</f>
        <v>0</v>
      </c>
      <c r="EF47" s="85"/>
      <c r="EG47" s="61">
        <f t="shared" si="55"/>
        <v>42</v>
      </c>
      <c r="EH47" s="85" cm="1">
        <f t="array" ref="EH4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47" s="85" cm="1">
        <f t="array" ref="EI4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47" s="85" cm="1">
        <f t="array" ref="EJ4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47" s="85" cm="1">
        <f t="array" ref="EK4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47" s="85" cm="1">
        <f t="array" ref="EL4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47" s="85" cm="1">
        <f t="array" ref="EM4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47" s="85" cm="1">
        <f t="array" ref="EN4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47" s="85"/>
      <c r="EQ47" s="61">
        <f t="shared" si="56"/>
        <v>42</v>
      </c>
      <c r="ER47" s="62">
        <f>IF($A47&lt;&gt;"x",$P47*SUMIFS($AF47:$DK47,$AF$4:$DK$4,Jahresscheiben!C$2),0)</f>
        <v>0</v>
      </c>
      <c r="ES47" s="62">
        <f>IF($A47&lt;&gt;"x",$P47*SUMIFS($AF47:$DK47,$AF$4:$DK$4,Jahresscheiben!D$2),0)</f>
        <v>0</v>
      </c>
      <c r="ET47" s="62">
        <f>IF($A47&lt;&gt;"x",$P47*SUMIFS($AF47:$DK47,$AF$4:$DK$4,Jahresscheiben!E$2),0)</f>
        <v>0</v>
      </c>
      <c r="EU47" s="62">
        <f>IF($A47&lt;&gt;"x",$P47*SUMIFS($AF47:$DK47,$AF$4:$DK$4,Jahresscheiben!F$2),0)</f>
        <v>0</v>
      </c>
      <c r="EV47" s="62">
        <f>IF($A47&lt;&gt;"x",$P47*SUMIFS($AF47:$DK47,$AF$4:$DK$4,Jahresscheiben!G$2),0)</f>
        <v>0</v>
      </c>
      <c r="EW47" s="62">
        <f>IF($A47&lt;&gt;"x",$P47*SUMIFS($AF47:$DK47,$AF$4:$DK$4,Jahresscheiben!H$2),0)</f>
        <v>0</v>
      </c>
      <c r="EX47" s="62">
        <f>IF($A47&lt;&gt;"x",$P47*SUMIFS($AF47:$DK47,$AF$4:$DK$4,Jahresscheiben!I$2),0)</f>
        <v>0</v>
      </c>
      <c r="EY47" s="85"/>
      <c r="EZ47" s="61">
        <f t="shared" si="57"/>
        <v>42</v>
      </c>
      <c r="FA47" s="85">
        <f>IF($A47="x",$P47*SUMIFS($AF47:$DK47,$AF$4:$DK$4,Jahresscheiben!C$2)/2,0)</f>
        <v>0</v>
      </c>
      <c r="FB47" s="85">
        <f>IF($A47="x",$P47*SUMIFS($AF47:$DK47,$AF$4:$DK$4,Jahresscheiben!D$2)/2,0)</f>
        <v>0</v>
      </c>
      <c r="FC47" s="85">
        <f>IF($A47="x",$P47*SUMIFS($AF47:$DK47,$AF$4:$DK$4,Jahresscheiben!E$2)/2,0)</f>
        <v>0</v>
      </c>
      <c r="FD47" s="85">
        <f>IF($A47="x",$P47*SUMIFS($AF47:$DK47,$AF$4:$DK$4,Jahresscheiben!F$2)/2,0)</f>
        <v>0</v>
      </c>
      <c r="FE47" s="85">
        <f>IF($A47="x",$P47*SUMIFS($AF47:$DK47,$AF$4:$DK$4,Jahresscheiben!G$2)/2,0)</f>
        <v>0</v>
      </c>
      <c r="FF47" s="85">
        <f>IF($A47="x",$P47*SUMIFS($AF47:$DK47,$AF$4:$DK$4,Jahresscheiben!H$2)/2,0)</f>
        <v>0</v>
      </c>
      <c r="FG47" s="85">
        <f>IF($A47="x",$P47*SUMIFS($AF47:$DK47,$AF$4:$DK$4,Jahresscheiben!I$2)/2,0)</f>
        <v>0</v>
      </c>
      <c r="FH47" s="85"/>
      <c r="FI47" s="61">
        <f t="shared" si="58"/>
        <v>42</v>
      </c>
      <c r="FJ47" s="85" cm="1">
        <f t="array" ref="FJ4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47" s="85" cm="1">
        <f t="array" ref="FK4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47" s="85" cm="1">
        <f t="array" ref="FL4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47" s="85" cm="1">
        <f t="array" ref="FM4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47" s="85" cm="1">
        <f t="array" ref="FN4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47" s="85" cm="1">
        <f t="array" ref="FO4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47" s="85" cm="1">
        <f t="array" ref="FP4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48" spans="1:172" ht="17" hidden="1" customHeight="1" thickBot="1" x14ac:dyDescent="0.55000000000000004">
      <c r="A48" s="29" t="s">
        <v>24</v>
      </c>
      <c r="B48" s="31">
        <f t="shared" si="50"/>
        <v>0</v>
      </c>
      <c r="C48" s="22">
        <f t="shared" si="51"/>
        <v>43</v>
      </c>
      <c r="D48" s="71"/>
      <c r="E48" s="7"/>
      <c r="F48" s="7"/>
      <c r="G48" s="7"/>
      <c r="H48" s="7"/>
      <c r="I48" s="6" t="str">
        <f t="shared" si="40"/>
        <v/>
      </c>
      <c r="J48" s="6" t="str">
        <f t="shared" si="41"/>
        <v/>
      </c>
      <c r="K48" s="7"/>
      <c r="L48" s="53">
        <v>1</v>
      </c>
      <c r="M48" s="60" cm="1">
        <f t="array" ref="M48" xml:space="preserve">
_xlfn.LET(
_xlpm.Z, _xlfn._xlws.FILTER($DY$6:$EE$65,$DX$6:$DX$65=C48),
_xlpm.Q,_xlfn._xlws.FILTER($DP$6:$DV$65,$DO$6:$DO$65=C48),
IF($A48="x",SUMPRODUCT(_xlpm.Z,$DY$73:$EE$73,EH48:EN48),SUMPRODUCT(_xlpm.Q,$DP$73:$DV$73)))</f>
        <v>0</v>
      </c>
      <c r="N48" s="54" t="str" cm="1">
        <f t="array" ref="N48" xml:space="preserve">
_xlfn.LET(
_xlpm.Z, SUM(IF($A48="x",_xlfn._xlws.FILTER($M$6:$M$65,$A$6:$A$65="x"),_xlfn._xlws.FILTER($M$6:$M$65,$A$6:$A$65&lt;&gt;"x"))),
IF(_xlpm.Z&lt;&gt;0,M48/_xlpm.Z,""))</f>
        <v/>
      </c>
      <c r="O48" s="7"/>
      <c r="P48" s="53">
        <f t="shared" si="52"/>
        <v>1</v>
      </c>
      <c r="Q48" s="60" cm="1">
        <f t="array" ref="Q48" xml:space="preserve">
_xlfn.LET(
_xlpm.Z, _xlfn._xlws.FILTER($FA$6:$FG$65,$EZ$6:$EZ$65=C48),
_xlpm.Q,_xlfn._xlws.FILTER($ER$6:$EX$65,$EQ$6:$EQ$65=C48),
IF($A48="x",SUMPRODUCT(_xlpm.Z,$FA$73:$FG$73,FJ48:FP48),SUMPRODUCT(_xlpm.Q,$ER$73:$EX$73)))</f>
        <v>0</v>
      </c>
      <c r="R48" s="54" t="str" cm="1">
        <f t="array" ref="R48" xml:space="preserve">
_xlfn.LET(
_xlpm.Z, SUM(IF($A48="x",_xlfn._xlws.FILTER($Q$6:$Q$65,$A$6:$A$65="x"),_xlfn._xlws.FILTER($Q$6:$Q$65,$A$6:$A$65&lt;&gt;"x"))),
IF(_xlpm.Z&lt;&gt;0,Q48/_xlpm.Z,""))</f>
        <v/>
      </c>
      <c r="S48" s="7"/>
      <c r="T48" s="6"/>
      <c r="U48" s="6"/>
      <c r="V48" s="6"/>
      <c r="W48" s="6"/>
      <c r="X48" s="6"/>
      <c r="Y48" s="6"/>
      <c r="Z48" s="6"/>
      <c r="AA48" s="6"/>
      <c r="AB48" s="6"/>
      <c r="AC48" s="6"/>
      <c r="AD48" s="7"/>
      <c r="AE48" s="7"/>
      <c r="AF48" s="23" t="str">
        <f t="shared" si="67"/>
        <v/>
      </c>
      <c r="AG48" s="23" t="str">
        <f t="shared" si="67"/>
        <v/>
      </c>
      <c r="AH48" s="23" t="str">
        <f t="shared" si="67"/>
        <v/>
      </c>
      <c r="AI48" s="23" t="str">
        <f t="shared" si="67"/>
        <v/>
      </c>
      <c r="AJ48" s="23" t="str">
        <f t="shared" si="67"/>
        <v/>
      </c>
      <c r="AK48" s="23" t="str">
        <f t="shared" si="67"/>
        <v/>
      </c>
      <c r="AL48" s="23" t="str">
        <f t="shared" si="67"/>
        <v/>
      </c>
      <c r="AM48" s="23" t="str">
        <f t="shared" si="67"/>
        <v/>
      </c>
      <c r="AN48" s="23" t="str">
        <f t="shared" si="67"/>
        <v/>
      </c>
      <c r="AO48" s="23" t="str">
        <f t="shared" si="67"/>
        <v/>
      </c>
      <c r="AP48" s="23" t="str">
        <f t="shared" si="68"/>
        <v/>
      </c>
      <c r="AQ48" s="23" t="str">
        <f t="shared" si="68"/>
        <v/>
      </c>
      <c r="AR48" s="23" t="str">
        <f t="shared" si="68"/>
        <v/>
      </c>
      <c r="AS48" s="23" t="str">
        <f t="shared" si="68"/>
        <v/>
      </c>
      <c r="AT48" s="23" t="str">
        <f t="shared" si="68"/>
        <v/>
      </c>
      <c r="AU48" s="23" t="str">
        <f t="shared" si="68"/>
        <v/>
      </c>
      <c r="AV48" s="23" t="str">
        <f t="shared" si="68"/>
        <v/>
      </c>
      <c r="AW48" s="23" t="str">
        <f t="shared" si="68"/>
        <v/>
      </c>
      <c r="AX48" s="23" t="str">
        <f t="shared" si="68"/>
        <v/>
      </c>
      <c r="AY48" s="23" t="str">
        <f t="shared" si="68"/>
        <v/>
      </c>
      <c r="AZ48" s="23" t="str">
        <f t="shared" si="69"/>
        <v/>
      </c>
      <c r="BA48" s="23" t="str">
        <f t="shared" si="69"/>
        <v/>
      </c>
      <c r="BB48" s="23" t="str">
        <f t="shared" si="69"/>
        <v/>
      </c>
      <c r="BC48" s="23" t="str">
        <f t="shared" si="69"/>
        <v/>
      </c>
      <c r="BD48" s="23" t="str">
        <f t="shared" si="69"/>
        <v/>
      </c>
      <c r="BE48" s="23" t="str">
        <f t="shared" si="69"/>
        <v/>
      </c>
      <c r="BF48" s="23" t="str">
        <f t="shared" si="69"/>
        <v/>
      </c>
      <c r="BG48" s="23" t="str">
        <f t="shared" si="69"/>
        <v/>
      </c>
      <c r="BH48" s="23" t="str">
        <f t="shared" si="69"/>
        <v/>
      </c>
      <c r="BI48" s="23" t="str">
        <f t="shared" si="69"/>
        <v/>
      </c>
      <c r="BJ48" s="23" t="str">
        <f t="shared" si="70"/>
        <v/>
      </c>
      <c r="BK48" s="23" t="str">
        <f t="shared" si="70"/>
        <v/>
      </c>
      <c r="BL48" s="23" t="str">
        <f t="shared" si="70"/>
        <v/>
      </c>
      <c r="BM48" s="23" t="str">
        <f t="shared" si="70"/>
        <v/>
      </c>
      <c r="BN48" s="23" t="str">
        <f t="shared" si="70"/>
        <v/>
      </c>
      <c r="BO48" s="23" t="str">
        <f t="shared" si="70"/>
        <v/>
      </c>
      <c r="BP48" s="23" t="str">
        <f t="shared" si="70"/>
        <v/>
      </c>
      <c r="BQ48" s="23" t="str">
        <f t="shared" si="70"/>
        <v/>
      </c>
      <c r="BR48" s="23" t="str">
        <f t="shared" si="70"/>
        <v/>
      </c>
      <c r="BS48" s="23" t="str">
        <f t="shared" si="70"/>
        <v/>
      </c>
      <c r="BT48" s="23" t="str">
        <f t="shared" si="71"/>
        <v/>
      </c>
      <c r="BU48" s="23" t="str">
        <f t="shared" si="71"/>
        <v/>
      </c>
      <c r="BV48" s="23" t="str">
        <f t="shared" si="71"/>
        <v/>
      </c>
      <c r="BW48" s="23" t="str">
        <f t="shared" si="71"/>
        <v/>
      </c>
      <c r="BX48" s="23" t="str">
        <f t="shared" si="71"/>
        <v/>
      </c>
      <c r="BY48" s="23" t="str">
        <f t="shared" si="71"/>
        <v/>
      </c>
      <c r="BZ48" s="23" t="str">
        <f t="shared" si="71"/>
        <v/>
      </c>
      <c r="CA48" s="23" t="str">
        <f t="shared" si="71"/>
        <v/>
      </c>
      <c r="CB48" s="23" t="str">
        <f t="shared" si="71"/>
        <v/>
      </c>
      <c r="CC48" s="23" t="str">
        <f t="shared" si="71"/>
        <v/>
      </c>
      <c r="CD48" s="23" t="str">
        <f t="shared" si="72"/>
        <v/>
      </c>
      <c r="CE48" s="23" t="str">
        <f t="shared" si="72"/>
        <v/>
      </c>
      <c r="CF48" s="23" t="str">
        <f t="shared" si="72"/>
        <v/>
      </c>
      <c r="CG48" s="23" t="str">
        <f t="shared" si="72"/>
        <v/>
      </c>
      <c r="CH48" s="23" t="str">
        <f t="shared" si="72"/>
        <v/>
      </c>
      <c r="CI48" s="23" t="str">
        <f t="shared" si="72"/>
        <v/>
      </c>
      <c r="CJ48" s="23" t="str">
        <f t="shared" si="72"/>
        <v/>
      </c>
      <c r="CK48" s="23" t="str">
        <f t="shared" si="72"/>
        <v/>
      </c>
      <c r="CL48" s="23" t="str">
        <f t="shared" si="72"/>
        <v/>
      </c>
      <c r="CM48" s="23" t="str">
        <f t="shared" si="72"/>
        <v/>
      </c>
      <c r="CN48" s="23" t="str">
        <f t="shared" si="73"/>
        <v/>
      </c>
      <c r="CO48" s="23" t="str">
        <f t="shared" si="73"/>
        <v/>
      </c>
      <c r="CP48" s="23" t="str">
        <f t="shared" si="73"/>
        <v/>
      </c>
      <c r="CQ48" s="23" t="str">
        <f t="shared" si="73"/>
        <v/>
      </c>
      <c r="CR48" s="23" t="str">
        <f t="shared" si="73"/>
        <v/>
      </c>
      <c r="CS48" s="23" t="str">
        <f t="shared" si="73"/>
        <v/>
      </c>
      <c r="CT48" s="23" t="str">
        <f t="shared" si="73"/>
        <v/>
      </c>
      <c r="CU48" s="23" t="str">
        <f t="shared" si="73"/>
        <v/>
      </c>
      <c r="CV48" s="23" t="str">
        <f t="shared" si="73"/>
        <v/>
      </c>
      <c r="CW48" s="23" t="str">
        <f t="shared" si="73"/>
        <v/>
      </c>
      <c r="CX48" s="23" t="str">
        <f t="shared" si="74"/>
        <v/>
      </c>
      <c r="CY48" s="23" t="str">
        <f t="shared" si="74"/>
        <v/>
      </c>
      <c r="CZ48" s="23" t="str">
        <f t="shared" si="74"/>
        <v/>
      </c>
      <c r="DA48" s="23" t="str">
        <f t="shared" si="74"/>
        <v/>
      </c>
      <c r="DB48" s="23" t="str">
        <f t="shared" si="74"/>
        <v/>
      </c>
      <c r="DC48" s="23" t="str">
        <f t="shared" si="74"/>
        <v/>
      </c>
      <c r="DD48" s="23" t="str">
        <f t="shared" si="74"/>
        <v/>
      </c>
      <c r="DE48" s="23" t="str">
        <f t="shared" si="74"/>
        <v/>
      </c>
      <c r="DF48" s="23" t="str">
        <f t="shared" si="74"/>
        <v/>
      </c>
      <c r="DG48" s="23" t="str">
        <f t="shared" si="74"/>
        <v/>
      </c>
      <c r="DH48" s="23" t="str">
        <f t="shared" si="74"/>
        <v/>
      </c>
      <c r="DI48" s="23" t="str">
        <f t="shared" si="74"/>
        <v/>
      </c>
      <c r="DJ48" s="23" t="str">
        <f t="shared" si="74"/>
        <v/>
      </c>
      <c r="DK48" s="23" t="str">
        <f t="shared" si="74"/>
        <v/>
      </c>
      <c r="DO48" s="61">
        <f t="shared" si="53"/>
        <v>43</v>
      </c>
      <c r="DP48" s="61">
        <f>IF($A48&lt;&gt;"x",$L48*SUMIFS($AF48:$DK48,$AF$4:$DK$4,Jahresscheiben!C$2),0)</f>
        <v>0</v>
      </c>
      <c r="DQ48" s="61">
        <f>IF($A48&lt;&gt;"x",$L48*SUMIFS($AF48:$DK48,$AF$4:$DK$4,Jahresscheiben!D$2),0)</f>
        <v>0</v>
      </c>
      <c r="DR48" s="61">
        <f>IF($A48&lt;&gt;"x",$L48*SUMIFS($AF48:$DK48,$AF$4:$DK$4,Jahresscheiben!E$2),0)</f>
        <v>0</v>
      </c>
      <c r="DS48" s="61">
        <f>IF($A48&lt;&gt;"x",$L48*SUMIFS($AF48:$DK48,$AF$4:$DK$4,Jahresscheiben!F$2),0)</f>
        <v>0</v>
      </c>
      <c r="DT48" s="61">
        <f>IF($A48&lt;&gt;"x",$L48*SUMIFS($AF48:$DK48,$AF$4:$DK$4,Jahresscheiben!G$2),0)</f>
        <v>0</v>
      </c>
      <c r="DU48" s="61">
        <f>IF($A48&lt;&gt;"x",$L48*SUMIFS($AF48:$DK48,$AF$4:$DK$4,Jahresscheiben!H$2),0)</f>
        <v>0</v>
      </c>
      <c r="DV48" s="61">
        <f>IF($A48&lt;&gt;"x",$L48*SUMIFS($AF48:$DK48,$AF$4:$DK$4,Jahresscheiben!I$2),0)</f>
        <v>0</v>
      </c>
      <c r="DW48" s="85"/>
      <c r="DX48" s="61">
        <f t="shared" si="54"/>
        <v>43</v>
      </c>
      <c r="DY48" s="85">
        <f>IF($A48="x",$L48*SUMIFS($AF48:$DK48,$AF$4:$DK$4,Jahresscheiben!C$2)/2,0)</f>
        <v>0</v>
      </c>
      <c r="DZ48" s="85">
        <f>IF($A48="x",$L48*SUMIFS($AF48:$DK48,$AF$4:$DK$4,Jahresscheiben!D$2)/2,0)</f>
        <v>0</v>
      </c>
      <c r="EA48" s="85">
        <f>IF($A48="x",$L48*SUMIFS($AF48:$DK48,$AF$4:$DK$4,Jahresscheiben!E$2)/2,0)</f>
        <v>0</v>
      </c>
      <c r="EB48" s="85">
        <f>IF($A48="x",$L48*SUMIFS($AF48:$DK48,$AF$4:$DK$4,Jahresscheiben!F$2)/2,0)</f>
        <v>0</v>
      </c>
      <c r="EC48" s="85">
        <f>IF($A48="x",$L48*SUMIFS($AF48:$DK48,$AF$4:$DK$4,Jahresscheiben!G$2)/2,0)</f>
        <v>0</v>
      </c>
      <c r="ED48" s="85">
        <f>IF($A48="x",$L48*SUMIFS($AF48:$DK48,$AF$4:$DK$4,Jahresscheiben!H$2)/2,0)</f>
        <v>0</v>
      </c>
      <c r="EE48" s="85">
        <f>IF($A48="x",$L48*SUMIFS($AF48:$DK48,$AF$4:$DK$4,Jahresscheiben!I$2)/2,0)</f>
        <v>0</v>
      </c>
      <c r="EF48" s="85"/>
      <c r="EG48" s="61">
        <f t="shared" si="55"/>
        <v>43</v>
      </c>
      <c r="EH48" s="85" cm="1">
        <f t="array" ref="EH4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48" s="85" cm="1">
        <f t="array" ref="EI4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48" s="85" cm="1">
        <f t="array" ref="EJ4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48" s="85" cm="1">
        <f t="array" ref="EK4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48" s="85" cm="1">
        <f t="array" ref="EL4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48" s="85" cm="1">
        <f t="array" ref="EM4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48" s="85" cm="1">
        <f t="array" ref="EN4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48" s="85"/>
      <c r="EQ48" s="61">
        <f t="shared" si="56"/>
        <v>43</v>
      </c>
      <c r="ER48" s="62">
        <f>IF($A48&lt;&gt;"x",$P48*SUMIFS($AF48:$DK48,$AF$4:$DK$4,Jahresscheiben!C$2),0)</f>
        <v>0</v>
      </c>
      <c r="ES48" s="62">
        <f>IF($A48&lt;&gt;"x",$P48*SUMIFS($AF48:$DK48,$AF$4:$DK$4,Jahresscheiben!D$2),0)</f>
        <v>0</v>
      </c>
      <c r="ET48" s="62">
        <f>IF($A48&lt;&gt;"x",$P48*SUMIFS($AF48:$DK48,$AF$4:$DK$4,Jahresscheiben!E$2),0)</f>
        <v>0</v>
      </c>
      <c r="EU48" s="62">
        <f>IF($A48&lt;&gt;"x",$P48*SUMIFS($AF48:$DK48,$AF$4:$DK$4,Jahresscheiben!F$2),0)</f>
        <v>0</v>
      </c>
      <c r="EV48" s="62">
        <f>IF($A48&lt;&gt;"x",$P48*SUMIFS($AF48:$DK48,$AF$4:$DK$4,Jahresscheiben!G$2),0)</f>
        <v>0</v>
      </c>
      <c r="EW48" s="62">
        <f>IF($A48&lt;&gt;"x",$P48*SUMIFS($AF48:$DK48,$AF$4:$DK$4,Jahresscheiben!H$2),0)</f>
        <v>0</v>
      </c>
      <c r="EX48" s="62">
        <f>IF($A48&lt;&gt;"x",$P48*SUMIFS($AF48:$DK48,$AF$4:$DK$4,Jahresscheiben!I$2),0)</f>
        <v>0</v>
      </c>
      <c r="EY48" s="85"/>
      <c r="EZ48" s="61">
        <f t="shared" si="57"/>
        <v>43</v>
      </c>
      <c r="FA48" s="85">
        <f>IF($A48="x",$P48*SUMIFS($AF48:$DK48,$AF$4:$DK$4,Jahresscheiben!C$2)/2,0)</f>
        <v>0</v>
      </c>
      <c r="FB48" s="85">
        <f>IF($A48="x",$P48*SUMIFS($AF48:$DK48,$AF$4:$DK$4,Jahresscheiben!D$2)/2,0)</f>
        <v>0</v>
      </c>
      <c r="FC48" s="85">
        <f>IF($A48="x",$P48*SUMIFS($AF48:$DK48,$AF$4:$DK$4,Jahresscheiben!E$2)/2,0)</f>
        <v>0</v>
      </c>
      <c r="FD48" s="85">
        <f>IF($A48="x",$P48*SUMIFS($AF48:$DK48,$AF$4:$DK$4,Jahresscheiben!F$2)/2,0)</f>
        <v>0</v>
      </c>
      <c r="FE48" s="85">
        <f>IF($A48="x",$P48*SUMIFS($AF48:$DK48,$AF$4:$DK$4,Jahresscheiben!G$2)/2,0)</f>
        <v>0</v>
      </c>
      <c r="FF48" s="85">
        <f>IF($A48="x",$P48*SUMIFS($AF48:$DK48,$AF$4:$DK$4,Jahresscheiben!H$2)/2,0)</f>
        <v>0</v>
      </c>
      <c r="FG48" s="85">
        <f>IF($A48="x",$P48*SUMIFS($AF48:$DK48,$AF$4:$DK$4,Jahresscheiben!I$2)/2,0)</f>
        <v>0</v>
      </c>
      <c r="FH48" s="85"/>
      <c r="FI48" s="61">
        <f t="shared" si="58"/>
        <v>43</v>
      </c>
      <c r="FJ48" s="85" cm="1">
        <f t="array" ref="FJ4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48" s="85" cm="1">
        <f t="array" ref="FK4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48" s="85" cm="1">
        <f t="array" ref="FL4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48" s="85" cm="1">
        <f t="array" ref="FM4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48" s="85" cm="1">
        <f t="array" ref="FN4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48" s="85" cm="1">
        <f t="array" ref="FO4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48" s="85" cm="1">
        <f t="array" ref="FP4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49" spans="1:172" ht="17" hidden="1" customHeight="1" thickBot="1" x14ac:dyDescent="0.55000000000000004">
      <c r="A49" s="30" t="s">
        <v>24</v>
      </c>
      <c r="B49" s="31">
        <f t="shared" si="50"/>
        <v>0</v>
      </c>
      <c r="C49" s="22">
        <f t="shared" si="51"/>
        <v>44</v>
      </c>
      <c r="D49" s="71"/>
      <c r="E49" s="26"/>
      <c r="F49" s="26"/>
      <c r="G49" s="26"/>
      <c r="H49" s="26"/>
      <c r="I49" s="6" t="str">
        <f t="shared" si="40"/>
        <v/>
      </c>
      <c r="J49" s="6" t="str">
        <f t="shared" si="41"/>
        <v/>
      </c>
      <c r="K49" s="26"/>
      <c r="L49" s="53">
        <v>1</v>
      </c>
      <c r="M49" s="60" cm="1">
        <f t="array" ref="M49" xml:space="preserve">
_xlfn.LET(
_xlpm.Z, _xlfn._xlws.FILTER($DY$6:$EE$65,$DX$6:$DX$65=C49),
_xlpm.Q,_xlfn._xlws.FILTER($DP$6:$DV$65,$DO$6:$DO$65=C49),
IF($A49="x",SUMPRODUCT(_xlpm.Z,$DY$73:$EE$73,EH49:EN49),SUMPRODUCT(_xlpm.Q,$DP$73:$DV$73)))</f>
        <v>0</v>
      </c>
      <c r="N49" s="54" t="str" cm="1">
        <f t="array" ref="N49" xml:space="preserve">
_xlfn.LET(
_xlpm.Z, SUM(IF($A49="x",_xlfn._xlws.FILTER($M$6:$M$65,$A$6:$A$65="x"),_xlfn._xlws.FILTER($M$6:$M$65,$A$6:$A$65&lt;&gt;"x"))),
IF(_xlpm.Z&lt;&gt;0,M49/_xlpm.Z,""))</f>
        <v/>
      </c>
      <c r="O49" s="26"/>
      <c r="P49" s="53">
        <f t="shared" si="52"/>
        <v>1</v>
      </c>
      <c r="Q49" s="60" cm="1">
        <f t="array" ref="Q49" xml:space="preserve">
_xlfn.LET(
_xlpm.Z, _xlfn._xlws.FILTER($FA$6:$FG$65,$EZ$6:$EZ$65=C49),
_xlpm.Q,_xlfn._xlws.FILTER($ER$6:$EX$65,$EQ$6:$EQ$65=C49),
IF($A49="x",SUMPRODUCT(_xlpm.Z,$FA$73:$FG$73,FJ49:FP49),SUMPRODUCT(_xlpm.Q,$ER$73:$EX$73)))</f>
        <v>0</v>
      </c>
      <c r="R49" s="54" t="str" cm="1">
        <f t="array" ref="R49" xml:space="preserve">
_xlfn.LET(
_xlpm.Z, SUM(IF($A49="x",_xlfn._xlws.FILTER($Q$6:$Q$65,$A$6:$A$65="x"),_xlfn._xlws.FILTER($Q$6:$Q$65,$A$6:$A$65&lt;&gt;"x"))),
IF(_xlpm.Z&lt;&gt;0,Q49/_xlpm.Z,""))</f>
        <v/>
      </c>
      <c r="S49" s="26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8"/>
      <c r="AE49" s="28"/>
      <c r="AF49" s="23" t="str">
        <f t="shared" si="67"/>
        <v/>
      </c>
      <c r="AG49" s="23" t="str">
        <f t="shared" si="67"/>
        <v/>
      </c>
      <c r="AH49" s="23" t="str">
        <f t="shared" si="67"/>
        <v/>
      </c>
      <c r="AI49" s="23" t="str">
        <f t="shared" si="67"/>
        <v/>
      </c>
      <c r="AJ49" s="23" t="str">
        <f t="shared" si="67"/>
        <v/>
      </c>
      <c r="AK49" s="23" t="str">
        <f t="shared" si="67"/>
        <v/>
      </c>
      <c r="AL49" s="23" t="str">
        <f t="shared" si="67"/>
        <v/>
      </c>
      <c r="AM49" s="23" t="str">
        <f t="shared" si="67"/>
        <v/>
      </c>
      <c r="AN49" s="23" t="str">
        <f t="shared" si="67"/>
        <v/>
      </c>
      <c r="AO49" s="23" t="str">
        <f t="shared" si="67"/>
        <v/>
      </c>
      <c r="AP49" s="23" t="str">
        <f t="shared" si="68"/>
        <v/>
      </c>
      <c r="AQ49" s="23" t="str">
        <f t="shared" si="68"/>
        <v/>
      </c>
      <c r="AR49" s="23" t="str">
        <f t="shared" si="68"/>
        <v/>
      </c>
      <c r="AS49" s="23" t="str">
        <f t="shared" si="68"/>
        <v/>
      </c>
      <c r="AT49" s="23" t="str">
        <f t="shared" si="68"/>
        <v/>
      </c>
      <c r="AU49" s="23" t="str">
        <f t="shared" si="68"/>
        <v/>
      </c>
      <c r="AV49" s="23" t="str">
        <f t="shared" si="68"/>
        <v/>
      </c>
      <c r="AW49" s="23" t="str">
        <f t="shared" si="68"/>
        <v/>
      </c>
      <c r="AX49" s="23" t="str">
        <f t="shared" si="68"/>
        <v/>
      </c>
      <c r="AY49" s="23" t="str">
        <f t="shared" si="68"/>
        <v/>
      </c>
      <c r="AZ49" s="23" t="str">
        <f t="shared" si="69"/>
        <v/>
      </c>
      <c r="BA49" s="23" t="str">
        <f t="shared" si="69"/>
        <v/>
      </c>
      <c r="BB49" s="23" t="str">
        <f t="shared" si="69"/>
        <v/>
      </c>
      <c r="BC49" s="23" t="str">
        <f t="shared" si="69"/>
        <v/>
      </c>
      <c r="BD49" s="23" t="str">
        <f t="shared" si="69"/>
        <v/>
      </c>
      <c r="BE49" s="23" t="str">
        <f t="shared" si="69"/>
        <v/>
      </c>
      <c r="BF49" s="23" t="str">
        <f t="shared" si="69"/>
        <v/>
      </c>
      <c r="BG49" s="23" t="str">
        <f t="shared" si="69"/>
        <v/>
      </c>
      <c r="BH49" s="23" t="str">
        <f t="shared" si="69"/>
        <v/>
      </c>
      <c r="BI49" s="23" t="str">
        <f t="shared" si="69"/>
        <v/>
      </c>
      <c r="BJ49" s="23" t="str">
        <f t="shared" si="70"/>
        <v/>
      </c>
      <c r="BK49" s="23" t="str">
        <f t="shared" si="70"/>
        <v/>
      </c>
      <c r="BL49" s="23" t="str">
        <f t="shared" si="70"/>
        <v/>
      </c>
      <c r="BM49" s="23" t="str">
        <f t="shared" si="70"/>
        <v/>
      </c>
      <c r="BN49" s="23" t="str">
        <f t="shared" si="70"/>
        <v/>
      </c>
      <c r="BO49" s="23" t="str">
        <f t="shared" si="70"/>
        <v/>
      </c>
      <c r="BP49" s="23" t="str">
        <f t="shared" si="70"/>
        <v/>
      </c>
      <c r="BQ49" s="23" t="str">
        <f t="shared" si="70"/>
        <v/>
      </c>
      <c r="BR49" s="23" t="str">
        <f t="shared" si="70"/>
        <v/>
      </c>
      <c r="BS49" s="23" t="str">
        <f t="shared" si="70"/>
        <v/>
      </c>
      <c r="BT49" s="23" t="str">
        <f t="shared" si="71"/>
        <v/>
      </c>
      <c r="BU49" s="23" t="str">
        <f t="shared" si="71"/>
        <v/>
      </c>
      <c r="BV49" s="23" t="str">
        <f t="shared" si="71"/>
        <v/>
      </c>
      <c r="BW49" s="23" t="str">
        <f t="shared" si="71"/>
        <v/>
      </c>
      <c r="BX49" s="23" t="str">
        <f t="shared" si="71"/>
        <v/>
      </c>
      <c r="BY49" s="23" t="str">
        <f t="shared" si="71"/>
        <v/>
      </c>
      <c r="BZ49" s="23" t="str">
        <f t="shared" si="71"/>
        <v/>
      </c>
      <c r="CA49" s="23" t="str">
        <f t="shared" si="71"/>
        <v/>
      </c>
      <c r="CB49" s="23" t="str">
        <f t="shared" si="71"/>
        <v/>
      </c>
      <c r="CC49" s="23" t="str">
        <f t="shared" si="71"/>
        <v/>
      </c>
      <c r="CD49" s="23" t="str">
        <f t="shared" si="72"/>
        <v/>
      </c>
      <c r="CE49" s="23" t="str">
        <f t="shared" si="72"/>
        <v/>
      </c>
      <c r="CF49" s="23" t="str">
        <f t="shared" si="72"/>
        <v/>
      </c>
      <c r="CG49" s="23" t="str">
        <f t="shared" si="72"/>
        <v/>
      </c>
      <c r="CH49" s="23" t="str">
        <f t="shared" si="72"/>
        <v/>
      </c>
      <c r="CI49" s="23" t="str">
        <f t="shared" si="72"/>
        <v/>
      </c>
      <c r="CJ49" s="23" t="str">
        <f t="shared" si="72"/>
        <v/>
      </c>
      <c r="CK49" s="23" t="str">
        <f t="shared" si="72"/>
        <v/>
      </c>
      <c r="CL49" s="23" t="str">
        <f t="shared" si="72"/>
        <v/>
      </c>
      <c r="CM49" s="23" t="str">
        <f t="shared" si="72"/>
        <v/>
      </c>
      <c r="CN49" s="23" t="str">
        <f t="shared" si="73"/>
        <v/>
      </c>
      <c r="CO49" s="23" t="str">
        <f t="shared" si="73"/>
        <v/>
      </c>
      <c r="CP49" s="23" t="str">
        <f t="shared" si="73"/>
        <v/>
      </c>
      <c r="CQ49" s="23" t="str">
        <f t="shared" si="73"/>
        <v/>
      </c>
      <c r="CR49" s="23" t="str">
        <f t="shared" si="73"/>
        <v/>
      </c>
      <c r="CS49" s="23" t="str">
        <f t="shared" si="73"/>
        <v/>
      </c>
      <c r="CT49" s="23" t="str">
        <f t="shared" si="73"/>
        <v/>
      </c>
      <c r="CU49" s="23" t="str">
        <f t="shared" si="73"/>
        <v/>
      </c>
      <c r="CV49" s="23" t="str">
        <f t="shared" si="73"/>
        <v/>
      </c>
      <c r="CW49" s="23" t="str">
        <f t="shared" si="73"/>
        <v/>
      </c>
      <c r="CX49" s="23" t="str">
        <f t="shared" si="74"/>
        <v/>
      </c>
      <c r="CY49" s="23" t="str">
        <f t="shared" si="74"/>
        <v/>
      </c>
      <c r="CZ49" s="23" t="str">
        <f t="shared" si="74"/>
        <v/>
      </c>
      <c r="DA49" s="23" t="str">
        <f t="shared" si="74"/>
        <v/>
      </c>
      <c r="DB49" s="23" t="str">
        <f t="shared" si="74"/>
        <v/>
      </c>
      <c r="DC49" s="23" t="str">
        <f t="shared" si="74"/>
        <v/>
      </c>
      <c r="DD49" s="23" t="str">
        <f t="shared" si="74"/>
        <v/>
      </c>
      <c r="DE49" s="23" t="str">
        <f t="shared" si="74"/>
        <v/>
      </c>
      <c r="DF49" s="23" t="str">
        <f t="shared" si="74"/>
        <v/>
      </c>
      <c r="DG49" s="23" t="str">
        <f t="shared" si="74"/>
        <v/>
      </c>
      <c r="DH49" s="23" t="str">
        <f t="shared" si="74"/>
        <v/>
      </c>
      <c r="DI49" s="23" t="str">
        <f t="shared" si="74"/>
        <v/>
      </c>
      <c r="DJ49" s="23" t="str">
        <f t="shared" si="74"/>
        <v/>
      </c>
      <c r="DK49" s="23" t="str">
        <f t="shared" si="74"/>
        <v/>
      </c>
      <c r="DO49" s="61">
        <f t="shared" si="53"/>
        <v>44</v>
      </c>
      <c r="DP49" s="61">
        <f>IF($A49&lt;&gt;"x",$L49*SUMIFS($AF49:$DK49,$AF$4:$DK$4,Jahresscheiben!C$2),0)</f>
        <v>0</v>
      </c>
      <c r="DQ49" s="61">
        <f>IF($A49&lt;&gt;"x",$L49*SUMIFS($AF49:$DK49,$AF$4:$DK$4,Jahresscheiben!D$2),0)</f>
        <v>0</v>
      </c>
      <c r="DR49" s="61">
        <f>IF($A49&lt;&gt;"x",$L49*SUMIFS($AF49:$DK49,$AF$4:$DK$4,Jahresscheiben!E$2),0)</f>
        <v>0</v>
      </c>
      <c r="DS49" s="61">
        <f>IF($A49&lt;&gt;"x",$L49*SUMIFS($AF49:$DK49,$AF$4:$DK$4,Jahresscheiben!F$2),0)</f>
        <v>0</v>
      </c>
      <c r="DT49" s="61">
        <f>IF($A49&lt;&gt;"x",$L49*SUMIFS($AF49:$DK49,$AF$4:$DK$4,Jahresscheiben!G$2),0)</f>
        <v>0</v>
      </c>
      <c r="DU49" s="61">
        <f>IF($A49&lt;&gt;"x",$L49*SUMIFS($AF49:$DK49,$AF$4:$DK$4,Jahresscheiben!H$2),0)</f>
        <v>0</v>
      </c>
      <c r="DV49" s="61">
        <f>IF($A49&lt;&gt;"x",$L49*SUMIFS($AF49:$DK49,$AF$4:$DK$4,Jahresscheiben!I$2),0)</f>
        <v>0</v>
      </c>
      <c r="DW49" s="85"/>
      <c r="DX49" s="61">
        <f t="shared" si="54"/>
        <v>44</v>
      </c>
      <c r="DY49" s="85">
        <f>IF($A49="x",$L49*SUMIFS($AF49:$DK49,$AF$4:$DK$4,Jahresscheiben!C$2)/2,0)</f>
        <v>0</v>
      </c>
      <c r="DZ49" s="85">
        <f>IF($A49="x",$L49*SUMIFS($AF49:$DK49,$AF$4:$DK$4,Jahresscheiben!D$2)/2,0)</f>
        <v>0</v>
      </c>
      <c r="EA49" s="85">
        <f>IF($A49="x",$L49*SUMIFS($AF49:$DK49,$AF$4:$DK$4,Jahresscheiben!E$2)/2,0)</f>
        <v>0</v>
      </c>
      <c r="EB49" s="85">
        <f>IF($A49="x",$L49*SUMIFS($AF49:$DK49,$AF$4:$DK$4,Jahresscheiben!F$2)/2,0)</f>
        <v>0</v>
      </c>
      <c r="EC49" s="85">
        <f>IF($A49="x",$L49*SUMIFS($AF49:$DK49,$AF$4:$DK$4,Jahresscheiben!G$2)/2,0)</f>
        <v>0</v>
      </c>
      <c r="ED49" s="85">
        <f>IF($A49="x",$L49*SUMIFS($AF49:$DK49,$AF$4:$DK$4,Jahresscheiben!H$2)/2,0)</f>
        <v>0</v>
      </c>
      <c r="EE49" s="85">
        <f>IF($A49="x",$L49*SUMIFS($AF49:$DK49,$AF$4:$DK$4,Jahresscheiben!I$2)/2,0)</f>
        <v>0</v>
      </c>
      <c r="EF49" s="85"/>
      <c r="EG49" s="61">
        <f t="shared" si="55"/>
        <v>44</v>
      </c>
      <c r="EH49" s="85" cm="1">
        <f t="array" ref="EH4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49" s="85" cm="1">
        <f t="array" ref="EI4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49" s="85" cm="1">
        <f t="array" ref="EJ4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49" s="85" cm="1">
        <f t="array" ref="EK4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49" s="85" cm="1">
        <f t="array" ref="EL4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49" s="85" cm="1">
        <f t="array" ref="EM4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49" s="85" cm="1">
        <f t="array" ref="EN4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49" s="85"/>
      <c r="EQ49" s="61">
        <f t="shared" si="56"/>
        <v>44</v>
      </c>
      <c r="ER49" s="62">
        <f>IF($A49&lt;&gt;"x",$P49*SUMIFS($AF49:$DK49,$AF$4:$DK$4,Jahresscheiben!C$2),0)</f>
        <v>0</v>
      </c>
      <c r="ES49" s="62">
        <f>IF($A49&lt;&gt;"x",$P49*SUMIFS($AF49:$DK49,$AF$4:$DK$4,Jahresscheiben!D$2),0)</f>
        <v>0</v>
      </c>
      <c r="ET49" s="62">
        <f>IF($A49&lt;&gt;"x",$P49*SUMIFS($AF49:$DK49,$AF$4:$DK$4,Jahresscheiben!E$2),0)</f>
        <v>0</v>
      </c>
      <c r="EU49" s="62">
        <f>IF($A49&lt;&gt;"x",$P49*SUMIFS($AF49:$DK49,$AF$4:$DK$4,Jahresscheiben!F$2),0)</f>
        <v>0</v>
      </c>
      <c r="EV49" s="62">
        <f>IF($A49&lt;&gt;"x",$P49*SUMIFS($AF49:$DK49,$AF$4:$DK$4,Jahresscheiben!G$2),0)</f>
        <v>0</v>
      </c>
      <c r="EW49" s="62">
        <f>IF($A49&lt;&gt;"x",$P49*SUMIFS($AF49:$DK49,$AF$4:$DK$4,Jahresscheiben!H$2),0)</f>
        <v>0</v>
      </c>
      <c r="EX49" s="62">
        <f>IF($A49&lt;&gt;"x",$P49*SUMIFS($AF49:$DK49,$AF$4:$DK$4,Jahresscheiben!I$2),0)</f>
        <v>0</v>
      </c>
      <c r="EY49" s="85"/>
      <c r="EZ49" s="61">
        <f t="shared" si="57"/>
        <v>44</v>
      </c>
      <c r="FA49" s="85">
        <f>IF($A49="x",$P49*SUMIFS($AF49:$DK49,$AF$4:$DK$4,Jahresscheiben!C$2)/2,0)</f>
        <v>0</v>
      </c>
      <c r="FB49" s="85">
        <f>IF($A49="x",$P49*SUMIFS($AF49:$DK49,$AF$4:$DK$4,Jahresscheiben!D$2)/2,0)</f>
        <v>0</v>
      </c>
      <c r="FC49" s="85">
        <f>IF($A49="x",$P49*SUMIFS($AF49:$DK49,$AF$4:$DK$4,Jahresscheiben!E$2)/2,0)</f>
        <v>0</v>
      </c>
      <c r="FD49" s="85">
        <f>IF($A49="x",$P49*SUMIFS($AF49:$DK49,$AF$4:$DK$4,Jahresscheiben!F$2)/2,0)</f>
        <v>0</v>
      </c>
      <c r="FE49" s="85">
        <f>IF($A49="x",$P49*SUMIFS($AF49:$DK49,$AF$4:$DK$4,Jahresscheiben!G$2)/2,0)</f>
        <v>0</v>
      </c>
      <c r="FF49" s="85">
        <f>IF($A49="x",$P49*SUMIFS($AF49:$DK49,$AF$4:$DK$4,Jahresscheiben!H$2)/2,0)</f>
        <v>0</v>
      </c>
      <c r="FG49" s="85">
        <f>IF($A49="x",$P49*SUMIFS($AF49:$DK49,$AF$4:$DK$4,Jahresscheiben!I$2)/2,0)</f>
        <v>0</v>
      </c>
      <c r="FH49" s="85"/>
      <c r="FI49" s="61">
        <f t="shared" si="58"/>
        <v>44</v>
      </c>
      <c r="FJ49" s="85" cm="1">
        <f t="array" ref="FJ4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49" s="85" cm="1">
        <f t="array" ref="FK4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49" s="85" cm="1">
        <f t="array" ref="FL4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49" s="85" cm="1">
        <f t="array" ref="FM4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49" s="85" cm="1">
        <f t="array" ref="FN4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49" s="85" cm="1">
        <f t="array" ref="FO4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49" s="85" cm="1">
        <f t="array" ref="FP4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50" spans="1:172" ht="17" hidden="1" customHeight="1" thickBot="1" x14ac:dyDescent="0.55000000000000004">
      <c r="A50" s="30" t="s">
        <v>24</v>
      </c>
      <c r="B50" s="31">
        <f t="shared" si="50"/>
        <v>0</v>
      </c>
      <c r="C50" s="22">
        <f t="shared" si="51"/>
        <v>45</v>
      </c>
      <c r="D50" s="71"/>
      <c r="E50" s="26"/>
      <c r="F50" s="26"/>
      <c r="G50" s="26"/>
      <c r="H50" s="26"/>
      <c r="I50" s="6" t="str">
        <f t="shared" si="40"/>
        <v/>
      </c>
      <c r="J50" s="6" t="str">
        <f t="shared" si="41"/>
        <v/>
      </c>
      <c r="K50" s="26"/>
      <c r="L50" s="53">
        <v>1</v>
      </c>
      <c r="M50" s="60" cm="1">
        <f t="array" ref="M50" xml:space="preserve">
_xlfn.LET(
_xlpm.Z, _xlfn._xlws.FILTER($DY$6:$EE$65,$DX$6:$DX$65=C50),
_xlpm.Q,_xlfn._xlws.FILTER($DP$6:$DV$65,$DO$6:$DO$65=C50),
IF($A50="x",SUMPRODUCT(_xlpm.Z,$DY$73:$EE$73,EH50:EN50),SUMPRODUCT(_xlpm.Q,$DP$73:$DV$73)))</f>
        <v>0</v>
      </c>
      <c r="N50" s="54" t="str" cm="1">
        <f t="array" ref="N50" xml:space="preserve">
_xlfn.LET(
_xlpm.Z, SUM(IF($A50="x",_xlfn._xlws.FILTER($M$6:$M$65,$A$6:$A$65="x"),_xlfn._xlws.FILTER($M$6:$M$65,$A$6:$A$65&lt;&gt;"x"))),
IF(_xlpm.Z&lt;&gt;0,M50/_xlpm.Z,""))</f>
        <v/>
      </c>
      <c r="O50" s="26"/>
      <c r="P50" s="53">
        <f t="shared" si="52"/>
        <v>1</v>
      </c>
      <c r="Q50" s="60" cm="1">
        <f t="array" ref="Q50" xml:space="preserve">
_xlfn.LET(
_xlpm.Z, _xlfn._xlws.FILTER($FA$6:$FG$65,$EZ$6:$EZ$65=C50),
_xlpm.Q,_xlfn._xlws.FILTER($ER$6:$EX$65,$EQ$6:$EQ$65=C50),
IF($A50="x",SUMPRODUCT(_xlpm.Z,$FA$73:$FG$73,FJ50:FP50),SUMPRODUCT(_xlpm.Q,$ER$73:$EX$73)))</f>
        <v>0</v>
      </c>
      <c r="R50" s="54" t="str" cm="1">
        <f t="array" ref="R50" xml:space="preserve">
_xlfn.LET(
_xlpm.Z, SUM(IF($A50="x",_xlfn._xlws.FILTER($Q$6:$Q$65,$A$6:$A$65="x"),_xlfn._xlws.FILTER($Q$6:$Q$65,$A$6:$A$65&lt;&gt;"x"))),
IF(_xlpm.Z&lt;&gt;0,Q50/_xlpm.Z,""))</f>
        <v/>
      </c>
      <c r="S50" s="26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8"/>
      <c r="AE50" s="28"/>
      <c r="AF50" s="23" t="str">
        <f t="shared" si="67"/>
        <v/>
      </c>
      <c r="AG50" s="23" t="str">
        <f t="shared" si="67"/>
        <v/>
      </c>
      <c r="AH50" s="23" t="str">
        <f t="shared" si="67"/>
        <v/>
      </c>
      <c r="AI50" s="23" t="str">
        <f t="shared" si="67"/>
        <v/>
      </c>
      <c r="AJ50" s="23" t="str">
        <f t="shared" si="67"/>
        <v/>
      </c>
      <c r="AK50" s="23" t="str">
        <f t="shared" si="67"/>
        <v/>
      </c>
      <c r="AL50" s="23" t="str">
        <f t="shared" si="67"/>
        <v/>
      </c>
      <c r="AM50" s="23" t="str">
        <f t="shared" si="67"/>
        <v/>
      </c>
      <c r="AN50" s="23" t="str">
        <f t="shared" si="67"/>
        <v/>
      </c>
      <c r="AO50" s="23" t="str">
        <f t="shared" si="67"/>
        <v/>
      </c>
      <c r="AP50" s="23" t="str">
        <f t="shared" si="68"/>
        <v/>
      </c>
      <c r="AQ50" s="23" t="str">
        <f t="shared" si="68"/>
        <v/>
      </c>
      <c r="AR50" s="23" t="str">
        <f t="shared" si="68"/>
        <v/>
      </c>
      <c r="AS50" s="23" t="str">
        <f t="shared" si="68"/>
        <v/>
      </c>
      <c r="AT50" s="23" t="str">
        <f t="shared" si="68"/>
        <v/>
      </c>
      <c r="AU50" s="23" t="str">
        <f t="shared" si="68"/>
        <v/>
      </c>
      <c r="AV50" s="23" t="str">
        <f t="shared" si="68"/>
        <v/>
      </c>
      <c r="AW50" s="23" t="str">
        <f t="shared" si="68"/>
        <v/>
      </c>
      <c r="AX50" s="23" t="str">
        <f t="shared" si="68"/>
        <v/>
      </c>
      <c r="AY50" s="23" t="str">
        <f t="shared" si="68"/>
        <v/>
      </c>
      <c r="AZ50" s="23" t="str">
        <f t="shared" si="69"/>
        <v/>
      </c>
      <c r="BA50" s="23" t="str">
        <f t="shared" si="69"/>
        <v/>
      </c>
      <c r="BB50" s="23" t="str">
        <f t="shared" si="69"/>
        <v/>
      </c>
      <c r="BC50" s="23" t="str">
        <f t="shared" si="69"/>
        <v/>
      </c>
      <c r="BD50" s="23" t="str">
        <f t="shared" si="69"/>
        <v/>
      </c>
      <c r="BE50" s="23" t="str">
        <f t="shared" si="69"/>
        <v/>
      </c>
      <c r="BF50" s="23" t="str">
        <f t="shared" si="69"/>
        <v/>
      </c>
      <c r="BG50" s="23" t="str">
        <f t="shared" si="69"/>
        <v/>
      </c>
      <c r="BH50" s="23" t="str">
        <f t="shared" si="69"/>
        <v/>
      </c>
      <c r="BI50" s="23" t="str">
        <f t="shared" si="69"/>
        <v/>
      </c>
      <c r="BJ50" s="23" t="str">
        <f t="shared" si="70"/>
        <v/>
      </c>
      <c r="BK50" s="23" t="str">
        <f t="shared" si="70"/>
        <v/>
      </c>
      <c r="BL50" s="23" t="str">
        <f t="shared" si="70"/>
        <v/>
      </c>
      <c r="BM50" s="23" t="str">
        <f t="shared" si="70"/>
        <v/>
      </c>
      <c r="BN50" s="23" t="str">
        <f t="shared" si="70"/>
        <v/>
      </c>
      <c r="BO50" s="23" t="str">
        <f t="shared" si="70"/>
        <v/>
      </c>
      <c r="BP50" s="23" t="str">
        <f t="shared" si="70"/>
        <v/>
      </c>
      <c r="BQ50" s="23" t="str">
        <f t="shared" si="70"/>
        <v/>
      </c>
      <c r="BR50" s="23" t="str">
        <f t="shared" si="70"/>
        <v/>
      </c>
      <c r="BS50" s="23" t="str">
        <f t="shared" si="70"/>
        <v/>
      </c>
      <c r="BT50" s="23" t="str">
        <f t="shared" si="71"/>
        <v/>
      </c>
      <c r="BU50" s="23" t="str">
        <f t="shared" si="71"/>
        <v/>
      </c>
      <c r="BV50" s="23" t="str">
        <f t="shared" si="71"/>
        <v/>
      </c>
      <c r="BW50" s="23" t="str">
        <f t="shared" si="71"/>
        <v/>
      </c>
      <c r="BX50" s="23" t="str">
        <f t="shared" si="71"/>
        <v/>
      </c>
      <c r="BY50" s="23" t="str">
        <f t="shared" si="71"/>
        <v/>
      </c>
      <c r="BZ50" s="23" t="str">
        <f t="shared" si="71"/>
        <v/>
      </c>
      <c r="CA50" s="23" t="str">
        <f t="shared" si="71"/>
        <v/>
      </c>
      <c r="CB50" s="23" t="str">
        <f t="shared" si="71"/>
        <v/>
      </c>
      <c r="CC50" s="23" t="str">
        <f t="shared" si="71"/>
        <v/>
      </c>
      <c r="CD50" s="23" t="str">
        <f t="shared" si="72"/>
        <v/>
      </c>
      <c r="CE50" s="23" t="str">
        <f t="shared" si="72"/>
        <v/>
      </c>
      <c r="CF50" s="23" t="str">
        <f t="shared" si="72"/>
        <v/>
      </c>
      <c r="CG50" s="23" t="str">
        <f t="shared" si="72"/>
        <v/>
      </c>
      <c r="CH50" s="23" t="str">
        <f t="shared" si="72"/>
        <v/>
      </c>
      <c r="CI50" s="23" t="str">
        <f t="shared" si="72"/>
        <v/>
      </c>
      <c r="CJ50" s="23" t="str">
        <f t="shared" si="72"/>
        <v/>
      </c>
      <c r="CK50" s="23" t="str">
        <f t="shared" si="72"/>
        <v/>
      </c>
      <c r="CL50" s="23" t="str">
        <f t="shared" si="72"/>
        <v/>
      </c>
      <c r="CM50" s="23" t="str">
        <f t="shared" si="72"/>
        <v/>
      </c>
      <c r="CN50" s="23" t="str">
        <f t="shared" si="73"/>
        <v/>
      </c>
      <c r="CO50" s="23" t="str">
        <f t="shared" si="73"/>
        <v/>
      </c>
      <c r="CP50" s="23" t="str">
        <f t="shared" si="73"/>
        <v/>
      </c>
      <c r="CQ50" s="23" t="str">
        <f t="shared" si="73"/>
        <v/>
      </c>
      <c r="CR50" s="23" t="str">
        <f t="shared" si="73"/>
        <v/>
      </c>
      <c r="CS50" s="23" t="str">
        <f t="shared" si="73"/>
        <v/>
      </c>
      <c r="CT50" s="23" t="str">
        <f t="shared" si="73"/>
        <v/>
      </c>
      <c r="CU50" s="23" t="str">
        <f t="shared" si="73"/>
        <v/>
      </c>
      <c r="CV50" s="23" t="str">
        <f t="shared" si="73"/>
        <v/>
      </c>
      <c r="CW50" s="23" t="str">
        <f t="shared" si="73"/>
        <v/>
      </c>
      <c r="CX50" s="23" t="str">
        <f t="shared" si="74"/>
        <v/>
      </c>
      <c r="CY50" s="23" t="str">
        <f t="shared" si="74"/>
        <v/>
      </c>
      <c r="CZ50" s="23" t="str">
        <f t="shared" si="74"/>
        <v/>
      </c>
      <c r="DA50" s="23" t="str">
        <f t="shared" si="74"/>
        <v/>
      </c>
      <c r="DB50" s="23" t="str">
        <f t="shared" si="74"/>
        <v/>
      </c>
      <c r="DC50" s="23" t="str">
        <f t="shared" si="74"/>
        <v/>
      </c>
      <c r="DD50" s="23" t="str">
        <f t="shared" si="74"/>
        <v/>
      </c>
      <c r="DE50" s="23" t="str">
        <f t="shared" si="74"/>
        <v/>
      </c>
      <c r="DF50" s="23" t="str">
        <f t="shared" si="74"/>
        <v/>
      </c>
      <c r="DG50" s="23" t="str">
        <f t="shared" si="74"/>
        <v/>
      </c>
      <c r="DH50" s="23" t="str">
        <f t="shared" si="74"/>
        <v/>
      </c>
      <c r="DI50" s="23" t="str">
        <f t="shared" si="74"/>
        <v/>
      </c>
      <c r="DJ50" s="23" t="str">
        <f t="shared" si="74"/>
        <v/>
      </c>
      <c r="DK50" s="23" t="str">
        <f t="shared" si="74"/>
        <v/>
      </c>
      <c r="DO50" s="61">
        <f t="shared" si="53"/>
        <v>45</v>
      </c>
      <c r="DP50" s="61">
        <f>IF($A50&lt;&gt;"x",$L50*SUMIFS($AF50:$DK50,$AF$4:$DK$4,Jahresscheiben!C$2),0)</f>
        <v>0</v>
      </c>
      <c r="DQ50" s="61">
        <f>IF($A50&lt;&gt;"x",$L50*SUMIFS($AF50:$DK50,$AF$4:$DK$4,Jahresscheiben!D$2),0)</f>
        <v>0</v>
      </c>
      <c r="DR50" s="61">
        <f>IF($A50&lt;&gt;"x",$L50*SUMIFS($AF50:$DK50,$AF$4:$DK$4,Jahresscheiben!E$2),0)</f>
        <v>0</v>
      </c>
      <c r="DS50" s="61">
        <f>IF($A50&lt;&gt;"x",$L50*SUMIFS($AF50:$DK50,$AF$4:$DK$4,Jahresscheiben!F$2),0)</f>
        <v>0</v>
      </c>
      <c r="DT50" s="61">
        <f>IF($A50&lt;&gt;"x",$L50*SUMIFS($AF50:$DK50,$AF$4:$DK$4,Jahresscheiben!G$2),0)</f>
        <v>0</v>
      </c>
      <c r="DU50" s="61">
        <f>IF($A50&lt;&gt;"x",$L50*SUMIFS($AF50:$DK50,$AF$4:$DK$4,Jahresscheiben!H$2),0)</f>
        <v>0</v>
      </c>
      <c r="DV50" s="61">
        <f>IF($A50&lt;&gt;"x",$L50*SUMIFS($AF50:$DK50,$AF$4:$DK$4,Jahresscheiben!I$2),0)</f>
        <v>0</v>
      </c>
      <c r="DW50" s="85"/>
      <c r="DX50" s="61">
        <f t="shared" si="54"/>
        <v>45</v>
      </c>
      <c r="DY50" s="85">
        <f>IF($A50="x",$L50*SUMIFS($AF50:$DK50,$AF$4:$DK$4,Jahresscheiben!C$2)/2,0)</f>
        <v>0</v>
      </c>
      <c r="DZ50" s="85">
        <f>IF($A50="x",$L50*SUMIFS($AF50:$DK50,$AF$4:$DK$4,Jahresscheiben!D$2)/2,0)</f>
        <v>0</v>
      </c>
      <c r="EA50" s="85">
        <f>IF($A50="x",$L50*SUMIFS($AF50:$DK50,$AF$4:$DK$4,Jahresscheiben!E$2)/2,0)</f>
        <v>0</v>
      </c>
      <c r="EB50" s="85">
        <f>IF($A50="x",$L50*SUMIFS($AF50:$DK50,$AF$4:$DK$4,Jahresscheiben!F$2)/2,0)</f>
        <v>0</v>
      </c>
      <c r="EC50" s="85">
        <f>IF($A50="x",$L50*SUMIFS($AF50:$DK50,$AF$4:$DK$4,Jahresscheiben!G$2)/2,0)</f>
        <v>0</v>
      </c>
      <c r="ED50" s="85">
        <f>IF($A50="x",$L50*SUMIFS($AF50:$DK50,$AF$4:$DK$4,Jahresscheiben!H$2)/2,0)</f>
        <v>0</v>
      </c>
      <c r="EE50" s="85">
        <f>IF($A50="x",$L50*SUMIFS($AF50:$DK50,$AF$4:$DK$4,Jahresscheiben!I$2)/2,0)</f>
        <v>0</v>
      </c>
      <c r="EF50" s="85"/>
      <c r="EG50" s="61">
        <f t="shared" si="55"/>
        <v>45</v>
      </c>
      <c r="EH50" s="85" cm="1">
        <f t="array" ref="EH5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50" s="85" cm="1">
        <f t="array" ref="EI5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50" s="85" cm="1">
        <f t="array" ref="EJ5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50" s="85" cm="1">
        <f t="array" ref="EK5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50" s="85" cm="1">
        <f t="array" ref="EL5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50" s="85" cm="1">
        <f t="array" ref="EM5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50" s="85" cm="1">
        <f t="array" ref="EN5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50" s="85"/>
      <c r="EQ50" s="61">
        <f t="shared" si="56"/>
        <v>45</v>
      </c>
      <c r="ER50" s="62">
        <f>IF($A50&lt;&gt;"x",$P50*SUMIFS($AF50:$DK50,$AF$4:$DK$4,Jahresscheiben!C$2),0)</f>
        <v>0</v>
      </c>
      <c r="ES50" s="62">
        <f>IF($A50&lt;&gt;"x",$P50*SUMIFS($AF50:$DK50,$AF$4:$DK$4,Jahresscheiben!D$2),0)</f>
        <v>0</v>
      </c>
      <c r="ET50" s="62">
        <f>IF($A50&lt;&gt;"x",$P50*SUMIFS($AF50:$DK50,$AF$4:$DK$4,Jahresscheiben!E$2),0)</f>
        <v>0</v>
      </c>
      <c r="EU50" s="62">
        <f>IF($A50&lt;&gt;"x",$P50*SUMIFS($AF50:$DK50,$AF$4:$DK$4,Jahresscheiben!F$2),0)</f>
        <v>0</v>
      </c>
      <c r="EV50" s="62">
        <f>IF($A50&lt;&gt;"x",$P50*SUMIFS($AF50:$DK50,$AF$4:$DK$4,Jahresscheiben!G$2),0)</f>
        <v>0</v>
      </c>
      <c r="EW50" s="62">
        <f>IF($A50&lt;&gt;"x",$P50*SUMIFS($AF50:$DK50,$AF$4:$DK$4,Jahresscheiben!H$2),0)</f>
        <v>0</v>
      </c>
      <c r="EX50" s="62">
        <f>IF($A50&lt;&gt;"x",$P50*SUMIFS($AF50:$DK50,$AF$4:$DK$4,Jahresscheiben!I$2),0)</f>
        <v>0</v>
      </c>
      <c r="EY50" s="85"/>
      <c r="EZ50" s="61">
        <f t="shared" si="57"/>
        <v>45</v>
      </c>
      <c r="FA50" s="85">
        <f>IF($A50="x",$P50*SUMIFS($AF50:$DK50,$AF$4:$DK$4,Jahresscheiben!C$2)/2,0)</f>
        <v>0</v>
      </c>
      <c r="FB50" s="85">
        <f>IF($A50="x",$P50*SUMIFS($AF50:$DK50,$AF$4:$DK$4,Jahresscheiben!D$2)/2,0)</f>
        <v>0</v>
      </c>
      <c r="FC50" s="85">
        <f>IF($A50="x",$P50*SUMIFS($AF50:$DK50,$AF$4:$DK$4,Jahresscheiben!E$2)/2,0)</f>
        <v>0</v>
      </c>
      <c r="FD50" s="85">
        <f>IF($A50="x",$P50*SUMIFS($AF50:$DK50,$AF$4:$DK$4,Jahresscheiben!F$2)/2,0)</f>
        <v>0</v>
      </c>
      <c r="FE50" s="85">
        <f>IF($A50="x",$P50*SUMIFS($AF50:$DK50,$AF$4:$DK$4,Jahresscheiben!G$2)/2,0)</f>
        <v>0</v>
      </c>
      <c r="FF50" s="85">
        <f>IF($A50="x",$P50*SUMIFS($AF50:$DK50,$AF$4:$DK$4,Jahresscheiben!H$2)/2,0)</f>
        <v>0</v>
      </c>
      <c r="FG50" s="85">
        <f>IF($A50="x",$P50*SUMIFS($AF50:$DK50,$AF$4:$DK$4,Jahresscheiben!I$2)/2,0)</f>
        <v>0</v>
      </c>
      <c r="FH50" s="85"/>
      <c r="FI50" s="61">
        <f t="shared" si="58"/>
        <v>45</v>
      </c>
      <c r="FJ50" s="85" cm="1">
        <f t="array" ref="FJ5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50" s="85" cm="1">
        <f t="array" ref="FK5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50" s="85" cm="1">
        <f t="array" ref="FL5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50" s="85" cm="1">
        <f t="array" ref="FM5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50" s="85" cm="1">
        <f t="array" ref="FN5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50" s="85" cm="1">
        <f t="array" ref="FO5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50" s="85" cm="1">
        <f t="array" ref="FP5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51" spans="1:172" ht="17" hidden="1" customHeight="1" thickBot="1" x14ac:dyDescent="0.55000000000000004">
      <c r="A51" s="30" t="s">
        <v>24</v>
      </c>
      <c r="B51" s="31">
        <f t="shared" si="50"/>
        <v>0</v>
      </c>
      <c r="C51" s="22">
        <f t="shared" si="51"/>
        <v>46</v>
      </c>
      <c r="D51" s="71"/>
      <c r="E51" s="26"/>
      <c r="F51" s="26"/>
      <c r="G51" s="26"/>
      <c r="H51" s="26"/>
      <c r="I51" s="6" t="str">
        <f t="shared" si="40"/>
        <v/>
      </c>
      <c r="J51" s="6" t="str">
        <f t="shared" si="41"/>
        <v/>
      </c>
      <c r="K51" s="26"/>
      <c r="L51" s="53">
        <v>1</v>
      </c>
      <c r="M51" s="60" cm="1">
        <f t="array" ref="M51" xml:space="preserve">
_xlfn.LET(
_xlpm.Z, _xlfn._xlws.FILTER($DY$6:$EE$65,$DX$6:$DX$65=C51),
_xlpm.Q,_xlfn._xlws.FILTER($DP$6:$DV$65,$DO$6:$DO$65=C51),
IF($A51="x",SUMPRODUCT(_xlpm.Z,$DY$73:$EE$73,EH51:EN51),SUMPRODUCT(_xlpm.Q,$DP$73:$DV$73)))</f>
        <v>0</v>
      </c>
      <c r="N51" s="54" t="str" cm="1">
        <f t="array" ref="N51" xml:space="preserve">
_xlfn.LET(
_xlpm.Z, SUM(IF($A51="x",_xlfn._xlws.FILTER($M$6:$M$65,$A$6:$A$65="x"),_xlfn._xlws.FILTER($M$6:$M$65,$A$6:$A$65&lt;&gt;"x"))),
IF(_xlpm.Z&lt;&gt;0,M51/_xlpm.Z,""))</f>
        <v/>
      </c>
      <c r="O51" s="26"/>
      <c r="P51" s="53">
        <f t="shared" si="52"/>
        <v>1</v>
      </c>
      <c r="Q51" s="60" cm="1">
        <f t="array" ref="Q51" xml:space="preserve">
_xlfn.LET(
_xlpm.Z, _xlfn._xlws.FILTER($FA$6:$FG$65,$EZ$6:$EZ$65=C51),
_xlpm.Q,_xlfn._xlws.FILTER($ER$6:$EX$65,$EQ$6:$EQ$65=C51),
IF($A51="x",SUMPRODUCT(_xlpm.Z,$FA$73:$FG$73,FJ51:FP51),SUMPRODUCT(_xlpm.Q,$ER$73:$EX$73)))</f>
        <v>0</v>
      </c>
      <c r="R51" s="54" t="str" cm="1">
        <f t="array" ref="R51" xml:space="preserve">
_xlfn.LET(
_xlpm.Z, SUM(IF($A51="x",_xlfn._xlws.FILTER($Q$6:$Q$65,$A$6:$A$65="x"),_xlfn._xlws.FILTER($Q$6:$Q$65,$A$6:$A$65&lt;&gt;"x"))),
IF(_xlpm.Z&lt;&gt;0,Q51/_xlpm.Z,""))</f>
        <v/>
      </c>
      <c r="S51" s="26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8"/>
      <c r="AE51" s="28"/>
      <c r="AF51" s="23" t="str">
        <f t="shared" si="67"/>
        <v/>
      </c>
      <c r="AG51" s="23" t="str">
        <f t="shared" si="67"/>
        <v/>
      </c>
      <c r="AH51" s="23" t="str">
        <f t="shared" si="67"/>
        <v/>
      </c>
      <c r="AI51" s="23" t="str">
        <f t="shared" si="67"/>
        <v/>
      </c>
      <c r="AJ51" s="23" t="str">
        <f t="shared" si="67"/>
        <v/>
      </c>
      <c r="AK51" s="23" t="str">
        <f t="shared" si="67"/>
        <v/>
      </c>
      <c r="AL51" s="23" t="str">
        <f t="shared" si="67"/>
        <v/>
      </c>
      <c r="AM51" s="23" t="str">
        <f t="shared" si="67"/>
        <v/>
      </c>
      <c r="AN51" s="23" t="str">
        <f t="shared" si="67"/>
        <v/>
      </c>
      <c r="AO51" s="23" t="str">
        <f t="shared" si="67"/>
        <v/>
      </c>
      <c r="AP51" s="23" t="str">
        <f t="shared" si="68"/>
        <v/>
      </c>
      <c r="AQ51" s="23" t="str">
        <f t="shared" si="68"/>
        <v/>
      </c>
      <c r="AR51" s="23" t="str">
        <f t="shared" si="68"/>
        <v/>
      </c>
      <c r="AS51" s="23" t="str">
        <f t="shared" si="68"/>
        <v/>
      </c>
      <c r="AT51" s="23" t="str">
        <f t="shared" si="68"/>
        <v/>
      </c>
      <c r="AU51" s="23" t="str">
        <f t="shared" si="68"/>
        <v/>
      </c>
      <c r="AV51" s="23" t="str">
        <f t="shared" si="68"/>
        <v/>
      </c>
      <c r="AW51" s="23" t="str">
        <f t="shared" si="68"/>
        <v/>
      </c>
      <c r="AX51" s="23" t="str">
        <f t="shared" si="68"/>
        <v/>
      </c>
      <c r="AY51" s="23" t="str">
        <f t="shared" si="68"/>
        <v/>
      </c>
      <c r="AZ51" s="23" t="str">
        <f t="shared" si="69"/>
        <v/>
      </c>
      <c r="BA51" s="23" t="str">
        <f t="shared" si="69"/>
        <v/>
      </c>
      <c r="BB51" s="23" t="str">
        <f t="shared" si="69"/>
        <v/>
      </c>
      <c r="BC51" s="23" t="str">
        <f t="shared" si="69"/>
        <v/>
      </c>
      <c r="BD51" s="23" t="str">
        <f t="shared" si="69"/>
        <v/>
      </c>
      <c r="BE51" s="23" t="str">
        <f t="shared" si="69"/>
        <v/>
      </c>
      <c r="BF51" s="23" t="str">
        <f t="shared" si="69"/>
        <v/>
      </c>
      <c r="BG51" s="23" t="str">
        <f t="shared" si="69"/>
        <v/>
      </c>
      <c r="BH51" s="23" t="str">
        <f t="shared" si="69"/>
        <v/>
      </c>
      <c r="BI51" s="23" t="str">
        <f t="shared" si="69"/>
        <v/>
      </c>
      <c r="BJ51" s="23" t="str">
        <f t="shared" si="70"/>
        <v/>
      </c>
      <c r="BK51" s="23" t="str">
        <f t="shared" si="70"/>
        <v/>
      </c>
      <c r="BL51" s="23" t="str">
        <f t="shared" si="70"/>
        <v/>
      </c>
      <c r="BM51" s="23" t="str">
        <f t="shared" si="70"/>
        <v/>
      </c>
      <c r="BN51" s="23" t="str">
        <f t="shared" si="70"/>
        <v/>
      </c>
      <c r="BO51" s="23" t="str">
        <f t="shared" si="70"/>
        <v/>
      </c>
      <c r="BP51" s="23" t="str">
        <f t="shared" si="70"/>
        <v/>
      </c>
      <c r="BQ51" s="23" t="str">
        <f t="shared" si="70"/>
        <v/>
      </c>
      <c r="BR51" s="23" t="str">
        <f t="shared" si="70"/>
        <v/>
      </c>
      <c r="BS51" s="23" t="str">
        <f t="shared" si="70"/>
        <v/>
      </c>
      <c r="BT51" s="23" t="str">
        <f t="shared" si="71"/>
        <v/>
      </c>
      <c r="BU51" s="23" t="str">
        <f t="shared" si="71"/>
        <v/>
      </c>
      <c r="BV51" s="23" t="str">
        <f t="shared" si="71"/>
        <v/>
      </c>
      <c r="BW51" s="23" t="str">
        <f t="shared" si="71"/>
        <v/>
      </c>
      <c r="BX51" s="23" t="str">
        <f t="shared" si="71"/>
        <v/>
      </c>
      <c r="BY51" s="23" t="str">
        <f t="shared" si="71"/>
        <v/>
      </c>
      <c r="BZ51" s="23" t="str">
        <f t="shared" si="71"/>
        <v/>
      </c>
      <c r="CA51" s="23" t="str">
        <f t="shared" si="71"/>
        <v/>
      </c>
      <c r="CB51" s="23" t="str">
        <f t="shared" si="71"/>
        <v/>
      </c>
      <c r="CC51" s="23" t="str">
        <f t="shared" si="71"/>
        <v/>
      </c>
      <c r="CD51" s="23" t="str">
        <f t="shared" si="72"/>
        <v/>
      </c>
      <c r="CE51" s="23" t="str">
        <f t="shared" si="72"/>
        <v/>
      </c>
      <c r="CF51" s="23" t="str">
        <f t="shared" si="72"/>
        <v/>
      </c>
      <c r="CG51" s="23" t="str">
        <f t="shared" si="72"/>
        <v/>
      </c>
      <c r="CH51" s="23" t="str">
        <f t="shared" si="72"/>
        <v/>
      </c>
      <c r="CI51" s="23" t="str">
        <f t="shared" si="72"/>
        <v/>
      </c>
      <c r="CJ51" s="23" t="str">
        <f t="shared" si="72"/>
        <v/>
      </c>
      <c r="CK51" s="23" t="str">
        <f t="shared" si="72"/>
        <v/>
      </c>
      <c r="CL51" s="23" t="str">
        <f t="shared" si="72"/>
        <v/>
      </c>
      <c r="CM51" s="23" t="str">
        <f t="shared" si="72"/>
        <v/>
      </c>
      <c r="CN51" s="23" t="str">
        <f t="shared" si="73"/>
        <v/>
      </c>
      <c r="CO51" s="23" t="str">
        <f t="shared" si="73"/>
        <v/>
      </c>
      <c r="CP51" s="23" t="str">
        <f t="shared" si="73"/>
        <v/>
      </c>
      <c r="CQ51" s="23" t="str">
        <f t="shared" si="73"/>
        <v/>
      </c>
      <c r="CR51" s="23" t="str">
        <f t="shared" si="73"/>
        <v/>
      </c>
      <c r="CS51" s="23" t="str">
        <f t="shared" si="73"/>
        <v/>
      </c>
      <c r="CT51" s="23" t="str">
        <f t="shared" si="73"/>
        <v/>
      </c>
      <c r="CU51" s="23" t="str">
        <f t="shared" si="73"/>
        <v/>
      </c>
      <c r="CV51" s="23" t="str">
        <f t="shared" si="73"/>
        <v/>
      </c>
      <c r="CW51" s="23" t="str">
        <f t="shared" si="73"/>
        <v/>
      </c>
      <c r="CX51" s="23" t="str">
        <f t="shared" si="74"/>
        <v/>
      </c>
      <c r="CY51" s="23" t="str">
        <f t="shared" si="74"/>
        <v/>
      </c>
      <c r="CZ51" s="23" t="str">
        <f t="shared" si="74"/>
        <v/>
      </c>
      <c r="DA51" s="23" t="str">
        <f t="shared" si="74"/>
        <v/>
      </c>
      <c r="DB51" s="23" t="str">
        <f t="shared" si="74"/>
        <v/>
      </c>
      <c r="DC51" s="23" t="str">
        <f t="shared" si="74"/>
        <v/>
      </c>
      <c r="DD51" s="23" t="str">
        <f t="shared" si="74"/>
        <v/>
      </c>
      <c r="DE51" s="23" t="str">
        <f t="shared" si="74"/>
        <v/>
      </c>
      <c r="DF51" s="23" t="str">
        <f t="shared" si="74"/>
        <v/>
      </c>
      <c r="DG51" s="23" t="str">
        <f t="shared" si="74"/>
        <v/>
      </c>
      <c r="DH51" s="23" t="str">
        <f t="shared" si="74"/>
        <v/>
      </c>
      <c r="DI51" s="23" t="str">
        <f t="shared" si="74"/>
        <v/>
      </c>
      <c r="DJ51" s="23" t="str">
        <f t="shared" si="74"/>
        <v/>
      </c>
      <c r="DK51" s="23" t="str">
        <f t="shared" si="74"/>
        <v/>
      </c>
      <c r="DO51" s="61">
        <f t="shared" si="53"/>
        <v>46</v>
      </c>
      <c r="DP51" s="61">
        <f>IF($A51&lt;&gt;"x",$L51*SUMIFS($AF51:$DK51,$AF$4:$DK$4,Jahresscheiben!C$2),0)</f>
        <v>0</v>
      </c>
      <c r="DQ51" s="61">
        <f>IF($A51&lt;&gt;"x",$L51*SUMIFS($AF51:$DK51,$AF$4:$DK$4,Jahresscheiben!D$2),0)</f>
        <v>0</v>
      </c>
      <c r="DR51" s="61">
        <f>IF($A51&lt;&gt;"x",$L51*SUMIFS($AF51:$DK51,$AF$4:$DK$4,Jahresscheiben!E$2),0)</f>
        <v>0</v>
      </c>
      <c r="DS51" s="61">
        <f>IF($A51&lt;&gt;"x",$L51*SUMIFS($AF51:$DK51,$AF$4:$DK$4,Jahresscheiben!F$2),0)</f>
        <v>0</v>
      </c>
      <c r="DT51" s="61">
        <f>IF($A51&lt;&gt;"x",$L51*SUMIFS($AF51:$DK51,$AF$4:$DK$4,Jahresscheiben!G$2),0)</f>
        <v>0</v>
      </c>
      <c r="DU51" s="61">
        <f>IF($A51&lt;&gt;"x",$L51*SUMIFS($AF51:$DK51,$AF$4:$DK$4,Jahresscheiben!H$2),0)</f>
        <v>0</v>
      </c>
      <c r="DV51" s="61">
        <f>IF($A51&lt;&gt;"x",$L51*SUMIFS($AF51:$DK51,$AF$4:$DK$4,Jahresscheiben!I$2),0)</f>
        <v>0</v>
      </c>
      <c r="DW51" s="85"/>
      <c r="DX51" s="61">
        <f t="shared" si="54"/>
        <v>46</v>
      </c>
      <c r="DY51" s="85">
        <f>IF($A51="x",$L51*SUMIFS($AF51:$DK51,$AF$4:$DK$4,Jahresscheiben!C$2)/2,0)</f>
        <v>0</v>
      </c>
      <c r="DZ51" s="85">
        <f>IF($A51="x",$L51*SUMIFS($AF51:$DK51,$AF$4:$DK$4,Jahresscheiben!D$2)/2,0)</f>
        <v>0</v>
      </c>
      <c r="EA51" s="85">
        <f>IF($A51="x",$L51*SUMIFS($AF51:$DK51,$AF$4:$DK$4,Jahresscheiben!E$2)/2,0)</f>
        <v>0</v>
      </c>
      <c r="EB51" s="85">
        <f>IF($A51="x",$L51*SUMIFS($AF51:$DK51,$AF$4:$DK$4,Jahresscheiben!F$2)/2,0)</f>
        <v>0</v>
      </c>
      <c r="EC51" s="85">
        <f>IF($A51="x",$L51*SUMIFS($AF51:$DK51,$AF$4:$DK$4,Jahresscheiben!G$2)/2,0)</f>
        <v>0</v>
      </c>
      <c r="ED51" s="85">
        <f>IF($A51="x",$L51*SUMIFS($AF51:$DK51,$AF$4:$DK$4,Jahresscheiben!H$2)/2,0)</f>
        <v>0</v>
      </c>
      <c r="EE51" s="85">
        <f>IF($A51="x",$L51*SUMIFS($AF51:$DK51,$AF$4:$DK$4,Jahresscheiben!I$2)/2,0)</f>
        <v>0</v>
      </c>
      <c r="EF51" s="85"/>
      <c r="EG51" s="61">
        <f t="shared" si="55"/>
        <v>46</v>
      </c>
      <c r="EH51" s="85" cm="1">
        <f t="array" ref="EH5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51" s="85" cm="1">
        <f t="array" ref="EI5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51" s="85" cm="1">
        <f t="array" ref="EJ5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51" s="85" cm="1">
        <f t="array" ref="EK5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51" s="85" cm="1">
        <f t="array" ref="EL5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51" s="85" cm="1">
        <f t="array" ref="EM5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51" s="85" cm="1">
        <f t="array" ref="EN5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51" s="85"/>
      <c r="EQ51" s="61">
        <f t="shared" si="56"/>
        <v>46</v>
      </c>
      <c r="ER51" s="62">
        <f>IF($A51&lt;&gt;"x",$P51*SUMIFS($AF51:$DK51,$AF$4:$DK$4,Jahresscheiben!C$2),0)</f>
        <v>0</v>
      </c>
      <c r="ES51" s="62">
        <f>IF($A51&lt;&gt;"x",$P51*SUMIFS($AF51:$DK51,$AF$4:$DK$4,Jahresscheiben!D$2),0)</f>
        <v>0</v>
      </c>
      <c r="ET51" s="62">
        <f>IF($A51&lt;&gt;"x",$P51*SUMIFS($AF51:$DK51,$AF$4:$DK$4,Jahresscheiben!E$2),0)</f>
        <v>0</v>
      </c>
      <c r="EU51" s="62">
        <f>IF($A51&lt;&gt;"x",$P51*SUMIFS($AF51:$DK51,$AF$4:$DK$4,Jahresscheiben!F$2),0)</f>
        <v>0</v>
      </c>
      <c r="EV51" s="62">
        <f>IF($A51&lt;&gt;"x",$P51*SUMIFS($AF51:$DK51,$AF$4:$DK$4,Jahresscheiben!G$2),0)</f>
        <v>0</v>
      </c>
      <c r="EW51" s="62">
        <f>IF($A51&lt;&gt;"x",$P51*SUMIFS($AF51:$DK51,$AF$4:$DK$4,Jahresscheiben!H$2),0)</f>
        <v>0</v>
      </c>
      <c r="EX51" s="62">
        <f>IF($A51&lt;&gt;"x",$P51*SUMIFS($AF51:$DK51,$AF$4:$DK$4,Jahresscheiben!I$2),0)</f>
        <v>0</v>
      </c>
      <c r="EY51" s="85"/>
      <c r="EZ51" s="61">
        <f t="shared" si="57"/>
        <v>46</v>
      </c>
      <c r="FA51" s="85">
        <f>IF($A51="x",$P51*SUMIFS($AF51:$DK51,$AF$4:$DK$4,Jahresscheiben!C$2)/2,0)</f>
        <v>0</v>
      </c>
      <c r="FB51" s="85">
        <f>IF($A51="x",$P51*SUMIFS($AF51:$DK51,$AF$4:$DK$4,Jahresscheiben!D$2)/2,0)</f>
        <v>0</v>
      </c>
      <c r="FC51" s="85">
        <f>IF($A51="x",$P51*SUMIFS($AF51:$DK51,$AF$4:$DK$4,Jahresscheiben!E$2)/2,0)</f>
        <v>0</v>
      </c>
      <c r="FD51" s="85">
        <f>IF($A51="x",$P51*SUMIFS($AF51:$DK51,$AF$4:$DK$4,Jahresscheiben!F$2)/2,0)</f>
        <v>0</v>
      </c>
      <c r="FE51" s="85">
        <f>IF($A51="x",$P51*SUMIFS($AF51:$DK51,$AF$4:$DK$4,Jahresscheiben!G$2)/2,0)</f>
        <v>0</v>
      </c>
      <c r="FF51" s="85">
        <f>IF($A51="x",$P51*SUMIFS($AF51:$DK51,$AF$4:$DK$4,Jahresscheiben!H$2)/2,0)</f>
        <v>0</v>
      </c>
      <c r="FG51" s="85">
        <f>IF($A51="x",$P51*SUMIFS($AF51:$DK51,$AF$4:$DK$4,Jahresscheiben!I$2)/2,0)</f>
        <v>0</v>
      </c>
      <c r="FH51" s="85"/>
      <c r="FI51" s="61">
        <f t="shared" si="58"/>
        <v>46</v>
      </c>
      <c r="FJ51" s="85" cm="1">
        <f t="array" ref="FJ5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51" s="85" cm="1">
        <f t="array" ref="FK5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51" s="85" cm="1">
        <f t="array" ref="FL5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51" s="85" cm="1">
        <f t="array" ref="FM5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51" s="85" cm="1">
        <f t="array" ref="FN5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51" s="85" cm="1">
        <f t="array" ref="FO5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51" s="85" cm="1">
        <f t="array" ref="FP5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52" spans="1:172" ht="17" hidden="1" customHeight="1" thickBot="1" x14ac:dyDescent="0.55000000000000004">
      <c r="A52" s="30" t="s">
        <v>24</v>
      </c>
      <c r="B52" s="31">
        <f t="shared" si="50"/>
        <v>0</v>
      </c>
      <c r="C52" s="22">
        <f t="shared" si="51"/>
        <v>47</v>
      </c>
      <c r="D52" s="70"/>
      <c r="E52" s="7"/>
      <c r="F52" s="7"/>
      <c r="G52" s="7"/>
      <c r="H52" s="7"/>
      <c r="I52" s="6" t="str">
        <f t="shared" si="40"/>
        <v/>
      </c>
      <c r="J52" s="6" t="str">
        <f t="shared" si="41"/>
        <v/>
      </c>
      <c r="K52" s="7"/>
      <c r="L52" s="53">
        <v>1</v>
      </c>
      <c r="M52" s="60" cm="1">
        <f t="array" ref="M52" xml:space="preserve">
_xlfn.LET(
_xlpm.Z, _xlfn._xlws.FILTER($DY$6:$EE$65,$DX$6:$DX$65=C52),
_xlpm.Q,_xlfn._xlws.FILTER($DP$6:$DV$65,$DO$6:$DO$65=C52),
IF($A52="x",SUMPRODUCT(_xlpm.Z,$DY$73:$EE$73,EH52:EN52),SUMPRODUCT(_xlpm.Q,$DP$73:$DV$73)))</f>
        <v>0</v>
      </c>
      <c r="N52" s="54" t="str" cm="1">
        <f t="array" ref="N52" xml:space="preserve">
_xlfn.LET(
_xlpm.Z, SUM(IF($A52="x",_xlfn._xlws.FILTER($M$6:$M$65,$A$6:$A$65="x"),_xlfn._xlws.FILTER($M$6:$M$65,$A$6:$A$65&lt;&gt;"x"))),
IF(_xlpm.Z&lt;&gt;0,M52/_xlpm.Z,""))</f>
        <v/>
      </c>
      <c r="O52" s="7"/>
      <c r="P52" s="53">
        <f t="shared" si="52"/>
        <v>1</v>
      </c>
      <c r="Q52" s="60" cm="1">
        <f t="array" ref="Q52" xml:space="preserve">
_xlfn.LET(
_xlpm.Z, _xlfn._xlws.FILTER($FA$6:$FG$65,$EZ$6:$EZ$65=C52),
_xlpm.Q,_xlfn._xlws.FILTER($ER$6:$EX$65,$EQ$6:$EQ$65=C52),
IF($A52="x",SUMPRODUCT(_xlpm.Z,$FA$73:$FG$73,FJ52:FP52),SUMPRODUCT(_xlpm.Q,$ER$73:$EX$73)))</f>
        <v>0</v>
      </c>
      <c r="R52" s="54" t="str" cm="1">
        <f t="array" ref="R52" xml:space="preserve">
_xlfn.LET(
_xlpm.Z, SUM(IF($A52="x",_xlfn._xlws.FILTER($Q$6:$Q$65,$A$6:$A$65="x"),_xlfn._xlws.FILTER($Q$6:$Q$65,$A$6:$A$65&lt;&gt;"x"))),
IF(_xlpm.Z&lt;&gt;0,Q52/_xlpm.Z,""))</f>
        <v/>
      </c>
      <c r="S52" s="7"/>
      <c r="T52" s="6"/>
      <c r="U52" s="6"/>
      <c r="V52" s="6"/>
      <c r="W52" s="6"/>
      <c r="X52" s="6"/>
      <c r="Y52" s="6"/>
      <c r="Z52" s="6"/>
      <c r="AA52" s="6"/>
      <c r="AB52" s="6"/>
      <c r="AC52" s="6"/>
      <c r="AD52" s="7"/>
      <c r="AE52" s="7"/>
      <c r="AF52" s="23" t="str">
        <f t="shared" si="67"/>
        <v/>
      </c>
      <c r="AG52" s="23" t="str">
        <f t="shared" si="67"/>
        <v/>
      </c>
      <c r="AH52" s="23" t="str">
        <f t="shared" si="67"/>
        <v/>
      </c>
      <c r="AI52" s="23" t="str">
        <f t="shared" si="67"/>
        <v/>
      </c>
      <c r="AJ52" s="23" t="str">
        <f t="shared" si="67"/>
        <v/>
      </c>
      <c r="AK52" s="23" t="str">
        <f t="shared" si="67"/>
        <v/>
      </c>
      <c r="AL52" s="23" t="str">
        <f t="shared" si="67"/>
        <v/>
      </c>
      <c r="AM52" s="23" t="str">
        <f t="shared" si="67"/>
        <v/>
      </c>
      <c r="AN52" s="23" t="str">
        <f t="shared" si="67"/>
        <v/>
      </c>
      <c r="AO52" s="23" t="str">
        <f t="shared" si="67"/>
        <v/>
      </c>
      <c r="AP52" s="23" t="str">
        <f t="shared" si="68"/>
        <v/>
      </c>
      <c r="AQ52" s="23" t="str">
        <f t="shared" si="68"/>
        <v/>
      </c>
      <c r="AR52" s="23" t="str">
        <f t="shared" si="68"/>
        <v/>
      </c>
      <c r="AS52" s="23" t="str">
        <f t="shared" si="68"/>
        <v/>
      </c>
      <c r="AT52" s="23" t="str">
        <f t="shared" si="68"/>
        <v/>
      </c>
      <c r="AU52" s="23" t="str">
        <f t="shared" si="68"/>
        <v/>
      </c>
      <c r="AV52" s="23" t="str">
        <f t="shared" si="68"/>
        <v/>
      </c>
      <c r="AW52" s="23" t="str">
        <f t="shared" si="68"/>
        <v/>
      </c>
      <c r="AX52" s="23" t="str">
        <f t="shared" si="68"/>
        <v/>
      </c>
      <c r="AY52" s="23" t="str">
        <f t="shared" si="68"/>
        <v/>
      </c>
      <c r="AZ52" s="23" t="str">
        <f t="shared" si="69"/>
        <v/>
      </c>
      <c r="BA52" s="23" t="str">
        <f t="shared" si="69"/>
        <v/>
      </c>
      <c r="BB52" s="23" t="str">
        <f t="shared" si="69"/>
        <v/>
      </c>
      <c r="BC52" s="23" t="str">
        <f t="shared" si="69"/>
        <v/>
      </c>
      <c r="BD52" s="23" t="str">
        <f t="shared" si="69"/>
        <v/>
      </c>
      <c r="BE52" s="23" t="str">
        <f t="shared" si="69"/>
        <v/>
      </c>
      <c r="BF52" s="23" t="str">
        <f t="shared" si="69"/>
        <v/>
      </c>
      <c r="BG52" s="23" t="str">
        <f t="shared" si="69"/>
        <v/>
      </c>
      <c r="BH52" s="23" t="str">
        <f t="shared" si="69"/>
        <v/>
      </c>
      <c r="BI52" s="23" t="str">
        <f t="shared" si="69"/>
        <v/>
      </c>
      <c r="BJ52" s="23" t="str">
        <f t="shared" si="70"/>
        <v/>
      </c>
      <c r="BK52" s="23" t="str">
        <f t="shared" si="70"/>
        <v/>
      </c>
      <c r="BL52" s="23" t="str">
        <f t="shared" si="70"/>
        <v/>
      </c>
      <c r="BM52" s="23" t="str">
        <f t="shared" si="70"/>
        <v/>
      </c>
      <c r="BN52" s="23" t="str">
        <f t="shared" si="70"/>
        <v/>
      </c>
      <c r="BO52" s="23" t="str">
        <f t="shared" si="70"/>
        <v/>
      </c>
      <c r="BP52" s="23" t="str">
        <f t="shared" si="70"/>
        <v/>
      </c>
      <c r="BQ52" s="23" t="str">
        <f t="shared" si="70"/>
        <v/>
      </c>
      <c r="BR52" s="23" t="str">
        <f t="shared" si="70"/>
        <v/>
      </c>
      <c r="BS52" s="23" t="str">
        <f t="shared" si="70"/>
        <v/>
      </c>
      <c r="BT52" s="23" t="str">
        <f t="shared" si="71"/>
        <v/>
      </c>
      <c r="BU52" s="23" t="str">
        <f t="shared" si="71"/>
        <v/>
      </c>
      <c r="BV52" s="23" t="str">
        <f t="shared" si="71"/>
        <v/>
      </c>
      <c r="BW52" s="23" t="str">
        <f t="shared" si="71"/>
        <v/>
      </c>
      <c r="BX52" s="23" t="str">
        <f t="shared" si="71"/>
        <v/>
      </c>
      <c r="BY52" s="23" t="str">
        <f t="shared" si="71"/>
        <v/>
      </c>
      <c r="BZ52" s="23" t="str">
        <f t="shared" si="71"/>
        <v/>
      </c>
      <c r="CA52" s="23" t="str">
        <f t="shared" si="71"/>
        <v/>
      </c>
      <c r="CB52" s="23" t="str">
        <f t="shared" si="71"/>
        <v/>
      </c>
      <c r="CC52" s="23" t="str">
        <f t="shared" si="71"/>
        <v/>
      </c>
      <c r="CD52" s="23" t="str">
        <f t="shared" si="72"/>
        <v/>
      </c>
      <c r="CE52" s="23" t="str">
        <f t="shared" si="72"/>
        <v/>
      </c>
      <c r="CF52" s="23" t="str">
        <f t="shared" si="72"/>
        <v/>
      </c>
      <c r="CG52" s="23" t="str">
        <f t="shared" si="72"/>
        <v/>
      </c>
      <c r="CH52" s="23" t="str">
        <f t="shared" si="72"/>
        <v/>
      </c>
      <c r="CI52" s="23" t="str">
        <f t="shared" si="72"/>
        <v/>
      </c>
      <c r="CJ52" s="23" t="str">
        <f t="shared" si="72"/>
        <v/>
      </c>
      <c r="CK52" s="23" t="str">
        <f t="shared" si="72"/>
        <v/>
      </c>
      <c r="CL52" s="23" t="str">
        <f t="shared" si="72"/>
        <v/>
      </c>
      <c r="CM52" s="23" t="str">
        <f t="shared" si="72"/>
        <v/>
      </c>
      <c r="CN52" s="23" t="str">
        <f t="shared" si="73"/>
        <v/>
      </c>
      <c r="CO52" s="23" t="str">
        <f t="shared" si="73"/>
        <v/>
      </c>
      <c r="CP52" s="23" t="str">
        <f t="shared" si="73"/>
        <v/>
      </c>
      <c r="CQ52" s="23" t="str">
        <f t="shared" si="73"/>
        <v/>
      </c>
      <c r="CR52" s="23" t="str">
        <f t="shared" si="73"/>
        <v/>
      </c>
      <c r="CS52" s="23" t="str">
        <f t="shared" si="73"/>
        <v/>
      </c>
      <c r="CT52" s="23" t="str">
        <f t="shared" si="73"/>
        <v/>
      </c>
      <c r="CU52" s="23" t="str">
        <f t="shared" si="73"/>
        <v/>
      </c>
      <c r="CV52" s="23" t="str">
        <f t="shared" si="73"/>
        <v/>
      </c>
      <c r="CW52" s="23" t="str">
        <f t="shared" si="73"/>
        <v/>
      </c>
      <c r="CX52" s="23" t="str">
        <f t="shared" si="74"/>
        <v/>
      </c>
      <c r="CY52" s="23" t="str">
        <f t="shared" si="74"/>
        <v/>
      </c>
      <c r="CZ52" s="23" t="str">
        <f t="shared" si="74"/>
        <v/>
      </c>
      <c r="DA52" s="23" t="str">
        <f t="shared" si="74"/>
        <v/>
      </c>
      <c r="DB52" s="23" t="str">
        <f t="shared" si="74"/>
        <v/>
      </c>
      <c r="DC52" s="23" t="str">
        <f t="shared" si="74"/>
        <v/>
      </c>
      <c r="DD52" s="23" t="str">
        <f t="shared" si="74"/>
        <v/>
      </c>
      <c r="DE52" s="23" t="str">
        <f t="shared" si="74"/>
        <v/>
      </c>
      <c r="DF52" s="23" t="str">
        <f t="shared" si="74"/>
        <v/>
      </c>
      <c r="DG52" s="23" t="str">
        <f t="shared" si="74"/>
        <v/>
      </c>
      <c r="DH52" s="23" t="str">
        <f t="shared" si="74"/>
        <v/>
      </c>
      <c r="DI52" s="23" t="str">
        <f t="shared" si="74"/>
        <v/>
      </c>
      <c r="DJ52" s="23" t="str">
        <f t="shared" si="74"/>
        <v/>
      </c>
      <c r="DK52" s="23" t="str">
        <f t="shared" si="74"/>
        <v/>
      </c>
      <c r="DO52" s="61">
        <f t="shared" si="53"/>
        <v>47</v>
      </c>
      <c r="DP52" s="61">
        <f>IF($A52&lt;&gt;"x",$L52*SUMIFS($AF52:$DK52,$AF$4:$DK$4,Jahresscheiben!C$2),0)</f>
        <v>0</v>
      </c>
      <c r="DQ52" s="61">
        <f>IF($A52&lt;&gt;"x",$L52*SUMIFS($AF52:$DK52,$AF$4:$DK$4,Jahresscheiben!D$2),0)</f>
        <v>0</v>
      </c>
      <c r="DR52" s="61">
        <f>IF($A52&lt;&gt;"x",$L52*SUMIFS($AF52:$DK52,$AF$4:$DK$4,Jahresscheiben!E$2),0)</f>
        <v>0</v>
      </c>
      <c r="DS52" s="61">
        <f>IF($A52&lt;&gt;"x",$L52*SUMIFS($AF52:$DK52,$AF$4:$DK$4,Jahresscheiben!F$2),0)</f>
        <v>0</v>
      </c>
      <c r="DT52" s="61">
        <f>IF($A52&lt;&gt;"x",$L52*SUMIFS($AF52:$DK52,$AF$4:$DK$4,Jahresscheiben!G$2),0)</f>
        <v>0</v>
      </c>
      <c r="DU52" s="61">
        <f>IF($A52&lt;&gt;"x",$L52*SUMIFS($AF52:$DK52,$AF$4:$DK$4,Jahresscheiben!H$2),0)</f>
        <v>0</v>
      </c>
      <c r="DV52" s="61">
        <f>IF($A52&lt;&gt;"x",$L52*SUMIFS($AF52:$DK52,$AF$4:$DK$4,Jahresscheiben!I$2),0)</f>
        <v>0</v>
      </c>
      <c r="DW52" s="85"/>
      <c r="DX52" s="61">
        <f t="shared" si="54"/>
        <v>47</v>
      </c>
      <c r="DY52" s="85">
        <f>IF($A52="x",$L52*SUMIFS($AF52:$DK52,$AF$4:$DK$4,Jahresscheiben!C$2)/2,0)</f>
        <v>0</v>
      </c>
      <c r="DZ52" s="85">
        <f>IF($A52="x",$L52*SUMIFS($AF52:$DK52,$AF$4:$DK$4,Jahresscheiben!D$2)/2,0)</f>
        <v>0</v>
      </c>
      <c r="EA52" s="85">
        <f>IF($A52="x",$L52*SUMIFS($AF52:$DK52,$AF$4:$DK$4,Jahresscheiben!E$2)/2,0)</f>
        <v>0</v>
      </c>
      <c r="EB52" s="85">
        <f>IF($A52="x",$L52*SUMIFS($AF52:$DK52,$AF$4:$DK$4,Jahresscheiben!F$2)/2,0)</f>
        <v>0</v>
      </c>
      <c r="EC52" s="85">
        <f>IF($A52="x",$L52*SUMIFS($AF52:$DK52,$AF$4:$DK$4,Jahresscheiben!G$2)/2,0)</f>
        <v>0</v>
      </c>
      <c r="ED52" s="85">
        <f>IF($A52="x",$L52*SUMIFS($AF52:$DK52,$AF$4:$DK$4,Jahresscheiben!H$2)/2,0)</f>
        <v>0</v>
      </c>
      <c r="EE52" s="85">
        <f>IF($A52="x",$L52*SUMIFS($AF52:$DK52,$AF$4:$DK$4,Jahresscheiben!I$2)/2,0)</f>
        <v>0</v>
      </c>
      <c r="EF52" s="85"/>
      <c r="EG52" s="61">
        <f t="shared" si="55"/>
        <v>47</v>
      </c>
      <c r="EH52" s="85" cm="1">
        <f t="array" ref="EH5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52" s="85" cm="1">
        <f t="array" ref="EI5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52" s="85" cm="1">
        <f t="array" ref="EJ5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52" s="85" cm="1">
        <f t="array" ref="EK5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52" s="85" cm="1">
        <f t="array" ref="EL5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52" s="85" cm="1">
        <f t="array" ref="EM5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52" s="85" cm="1">
        <f t="array" ref="EN5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52" s="85"/>
      <c r="EQ52" s="61">
        <f t="shared" si="56"/>
        <v>47</v>
      </c>
      <c r="ER52" s="62">
        <f>IF($A52&lt;&gt;"x",$P52*SUMIFS($AF52:$DK52,$AF$4:$DK$4,Jahresscheiben!C$2),0)</f>
        <v>0</v>
      </c>
      <c r="ES52" s="62">
        <f>IF($A52&lt;&gt;"x",$P52*SUMIFS($AF52:$DK52,$AF$4:$DK$4,Jahresscheiben!D$2),0)</f>
        <v>0</v>
      </c>
      <c r="ET52" s="62">
        <f>IF($A52&lt;&gt;"x",$P52*SUMIFS($AF52:$DK52,$AF$4:$DK$4,Jahresscheiben!E$2),0)</f>
        <v>0</v>
      </c>
      <c r="EU52" s="62">
        <f>IF($A52&lt;&gt;"x",$P52*SUMIFS($AF52:$DK52,$AF$4:$DK$4,Jahresscheiben!F$2),0)</f>
        <v>0</v>
      </c>
      <c r="EV52" s="62">
        <f>IF($A52&lt;&gt;"x",$P52*SUMIFS($AF52:$DK52,$AF$4:$DK$4,Jahresscheiben!G$2),0)</f>
        <v>0</v>
      </c>
      <c r="EW52" s="62">
        <f>IF($A52&lt;&gt;"x",$P52*SUMIFS($AF52:$DK52,$AF$4:$DK$4,Jahresscheiben!H$2),0)</f>
        <v>0</v>
      </c>
      <c r="EX52" s="62">
        <f>IF($A52&lt;&gt;"x",$P52*SUMIFS($AF52:$DK52,$AF$4:$DK$4,Jahresscheiben!I$2),0)</f>
        <v>0</v>
      </c>
      <c r="EY52" s="85"/>
      <c r="EZ52" s="61">
        <f t="shared" si="57"/>
        <v>47</v>
      </c>
      <c r="FA52" s="85">
        <f>IF($A52="x",$P52*SUMIFS($AF52:$DK52,$AF$4:$DK$4,Jahresscheiben!C$2)/2,0)</f>
        <v>0</v>
      </c>
      <c r="FB52" s="85">
        <f>IF($A52="x",$P52*SUMIFS($AF52:$DK52,$AF$4:$DK$4,Jahresscheiben!D$2)/2,0)</f>
        <v>0</v>
      </c>
      <c r="FC52" s="85">
        <f>IF($A52="x",$P52*SUMIFS($AF52:$DK52,$AF$4:$DK$4,Jahresscheiben!E$2)/2,0)</f>
        <v>0</v>
      </c>
      <c r="FD52" s="85">
        <f>IF($A52="x",$P52*SUMIFS($AF52:$DK52,$AF$4:$DK$4,Jahresscheiben!F$2)/2,0)</f>
        <v>0</v>
      </c>
      <c r="FE52" s="85">
        <f>IF($A52="x",$P52*SUMIFS($AF52:$DK52,$AF$4:$DK$4,Jahresscheiben!G$2)/2,0)</f>
        <v>0</v>
      </c>
      <c r="FF52" s="85">
        <f>IF($A52="x",$P52*SUMIFS($AF52:$DK52,$AF$4:$DK$4,Jahresscheiben!H$2)/2,0)</f>
        <v>0</v>
      </c>
      <c r="FG52" s="85">
        <f>IF($A52="x",$P52*SUMIFS($AF52:$DK52,$AF$4:$DK$4,Jahresscheiben!I$2)/2,0)</f>
        <v>0</v>
      </c>
      <c r="FH52" s="85"/>
      <c r="FI52" s="61">
        <f t="shared" si="58"/>
        <v>47</v>
      </c>
      <c r="FJ52" s="85" cm="1">
        <f t="array" ref="FJ5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52" s="85" cm="1">
        <f t="array" ref="FK5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52" s="85" cm="1">
        <f t="array" ref="FL5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52" s="85" cm="1">
        <f t="array" ref="FM5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52" s="85" cm="1">
        <f t="array" ref="FN5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52" s="85" cm="1">
        <f t="array" ref="FO5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52" s="85" cm="1">
        <f t="array" ref="FP5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53" spans="1:172" ht="17" hidden="1" customHeight="1" thickBot="1" x14ac:dyDescent="0.55000000000000004">
      <c r="A53" s="30" t="s">
        <v>24</v>
      </c>
      <c r="B53" s="31">
        <f t="shared" si="50"/>
        <v>0</v>
      </c>
      <c r="C53" s="22">
        <f t="shared" si="51"/>
        <v>48</v>
      </c>
      <c r="D53" s="71"/>
      <c r="E53" s="26"/>
      <c r="F53" s="26"/>
      <c r="G53" s="26"/>
      <c r="H53" s="26"/>
      <c r="I53" s="6" t="str">
        <f t="shared" si="40"/>
        <v/>
      </c>
      <c r="J53" s="6" t="str">
        <f t="shared" si="41"/>
        <v/>
      </c>
      <c r="K53" s="26"/>
      <c r="L53" s="53">
        <v>1</v>
      </c>
      <c r="M53" s="60" cm="1">
        <f t="array" ref="M53" xml:space="preserve">
_xlfn.LET(
_xlpm.Z, _xlfn._xlws.FILTER($DY$6:$EE$65,$DX$6:$DX$65=C53),
_xlpm.Q,_xlfn._xlws.FILTER($DP$6:$DV$65,$DO$6:$DO$65=C53),
IF($A53="x",SUMPRODUCT(_xlpm.Z,$DY$73:$EE$73,EH53:EN53),SUMPRODUCT(_xlpm.Q,$DP$73:$DV$73)))</f>
        <v>0</v>
      </c>
      <c r="N53" s="54" t="str" cm="1">
        <f t="array" ref="N53" xml:space="preserve">
_xlfn.LET(
_xlpm.Z, SUM(IF($A53="x",_xlfn._xlws.FILTER($M$6:$M$65,$A$6:$A$65="x"),_xlfn._xlws.FILTER($M$6:$M$65,$A$6:$A$65&lt;&gt;"x"))),
IF(_xlpm.Z&lt;&gt;0,M53/_xlpm.Z,""))</f>
        <v/>
      </c>
      <c r="O53" s="26"/>
      <c r="P53" s="53">
        <f t="shared" si="52"/>
        <v>1</v>
      </c>
      <c r="Q53" s="60" cm="1">
        <f t="array" ref="Q53" xml:space="preserve">
_xlfn.LET(
_xlpm.Z, _xlfn._xlws.FILTER($FA$6:$FG$65,$EZ$6:$EZ$65=C53),
_xlpm.Q,_xlfn._xlws.FILTER($ER$6:$EX$65,$EQ$6:$EQ$65=C53),
IF($A53="x",SUMPRODUCT(_xlpm.Z,$FA$73:$FG$73,FJ53:FP53),SUMPRODUCT(_xlpm.Q,$ER$73:$EX$73)))</f>
        <v>0</v>
      </c>
      <c r="R53" s="54" t="str" cm="1">
        <f t="array" ref="R53" xml:space="preserve">
_xlfn.LET(
_xlpm.Z, SUM(IF($A53="x",_xlfn._xlws.FILTER($Q$6:$Q$65,$A$6:$A$65="x"),_xlfn._xlws.FILTER($Q$6:$Q$65,$A$6:$A$65&lt;&gt;"x"))),
IF(_xlpm.Z&lt;&gt;0,Q53/_xlpm.Z,""))</f>
        <v/>
      </c>
      <c r="S53" s="26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8"/>
      <c r="AE53" s="28"/>
      <c r="AF53" s="23" t="str">
        <f t="shared" si="67"/>
        <v/>
      </c>
      <c r="AG53" s="23" t="str">
        <f t="shared" si="67"/>
        <v/>
      </c>
      <c r="AH53" s="23" t="str">
        <f t="shared" si="67"/>
        <v/>
      </c>
      <c r="AI53" s="23" t="str">
        <f t="shared" si="67"/>
        <v/>
      </c>
      <c r="AJ53" s="23" t="str">
        <f t="shared" si="67"/>
        <v/>
      </c>
      <c r="AK53" s="23" t="str">
        <f t="shared" si="67"/>
        <v/>
      </c>
      <c r="AL53" s="23" t="str">
        <f t="shared" si="67"/>
        <v/>
      </c>
      <c r="AM53" s="23" t="str">
        <f t="shared" si="67"/>
        <v/>
      </c>
      <c r="AN53" s="23" t="str">
        <f t="shared" si="67"/>
        <v/>
      </c>
      <c r="AO53" s="23" t="str">
        <f t="shared" si="67"/>
        <v/>
      </c>
      <c r="AP53" s="23" t="str">
        <f t="shared" si="68"/>
        <v/>
      </c>
      <c r="AQ53" s="23" t="str">
        <f t="shared" si="68"/>
        <v/>
      </c>
      <c r="AR53" s="23" t="str">
        <f t="shared" si="68"/>
        <v/>
      </c>
      <c r="AS53" s="23" t="str">
        <f t="shared" si="68"/>
        <v/>
      </c>
      <c r="AT53" s="23" t="str">
        <f t="shared" si="68"/>
        <v/>
      </c>
      <c r="AU53" s="23" t="str">
        <f t="shared" si="68"/>
        <v/>
      </c>
      <c r="AV53" s="23" t="str">
        <f t="shared" si="68"/>
        <v/>
      </c>
      <c r="AW53" s="23" t="str">
        <f t="shared" si="68"/>
        <v/>
      </c>
      <c r="AX53" s="23" t="str">
        <f t="shared" si="68"/>
        <v/>
      </c>
      <c r="AY53" s="23" t="str">
        <f t="shared" si="68"/>
        <v/>
      </c>
      <c r="AZ53" s="23" t="str">
        <f t="shared" si="69"/>
        <v/>
      </c>
      <c r="BA53" s="23" t="str">
        <f t="shared" si="69"/>
        <v/>
      </c>
      <c r="BB53" s="23" t="str">
        <f t="shared" si="69"/>
        <v/>
      </c>
      <c r="BC53" s="23" t="str">
        <f t="shared" si="69"/>
        <v/>
      </c>
      <c r="BD53" s="23" t="str">
        <f t="shared" si="69"/>
        <v/>
      </c>
      <c r="BE53" s="23" t="str">
        <f t="shared" si="69"/>
        <v/>
      </c>
      <c r="BF53" s="23" t="str">
        <f t="shared" si="69"/>
        <v/>
      </c>
      <c r="BG53" s="23" t="str">
        <f t="shared" si="69"/>
        <v/>
      </c>
      <c r="BH53" s="23" t="str">
        <f t="shared" si="69"/>
        <v/>
      </c>
      <c r="BI53" s="23" t="str">
        <f t="shared" si="69"/>
        <v/>
      </c>
      <c r="BJ53" s="23" t="str">
        <f t="shared" si="70"/>
        <v/>
      </c>
      <c r="BK53" s="23" t="str">
        <f t="shared" si="70"/>
        <v/>
      </c>
      <c r="BL53" s="23" t="str">
        <f t="shared" si="70"/>
        <v/>
      </c>
      <c r="BM53" s="23" t="str">
        <f t="shared" si="70"/>
        <v/>
      </c>
      <c r="BN53" s="23" t="str">
        <f t="shared" si="70"/>
        <v/>
      </c>
      <c r="BO53" s="23" t="str">
        <f t="shared" si="70"/>
        <v/>
      </c>
      <c r="BP53" s="23" t="str">
        <f t="shared" si="70"/>
        <v/>
      </c>
      <c r="BQ53" s="23" t="str">
        <f t="shared" si="70"/>
        <v/>
      </c>
      <c r="BR53" s="23" t="str">
        <f t="shared" si="70"/>
        <v/>
      </c>
      <c r="BS53" s="23" t="str">
        <f t="shared" si="70"/>
        <v/>
      </c>
      <c r="BT53" s="23" t="str">
        <f t="shared" si="71"/>
        <v/>
      </c>
      <c r="BU53" s="23" t="str">
        <f t="shared" si="71"/>
        <v/>
      </c>
      <c r="BV53" s="23" t="str">
        <f t="shared" si="71"/>
        <v/>
      </c>
      <c r="BW53" s="23" t="str">
        <f t="shared" si="71"/>
        <v/>
      </c>
      <c r="BX53" s="23" t="str">
        <f t="shared" si="71"/>
        <v/>
      </c>
      <c r="BY53" s="23" t="str">
        <f t="shared" si="71"/>
        <v/>
      </c>
      <c r="BZ53" s="23" t="str">
        <f t="shared" si="71"/>
        <v/>
      </c>
      <c r="CA53" s="23" t="str">
        <f t="shared" si="71"/>
        <v/>
      </c>
      <c r="CB53" s="23" t="str">
        <f t="shared" si="71"/>
        <v/>
      </c>
      <c r="CC53" s="23" t="str">
        <f t="shared" si="71"/>
        <v/>
      </c>
      <c r="CD53" s="23" t="str">
        <f t="shared" si="72"/>
        <v/>
      </c>
      <c r="CE53" s="23" t="str">
        <f t="shared" si="72"/>
        <v/>
      </c>
      <c r="CF53" s="23" t="str">
        <f t="shared" si="72"/>
        <v/>
      </c>
      <c r="CG53" s="23" t="str">
        <f t="shared" si="72"/>
        <v/>
      </c>
      <c r="CH53" s="23" t="str">
        <f t="shared" si="72"/>
        <v/>
      </c>
      <c r="CI53" s="23" t="str">
        <f t="shared" si="72"/>
        <v/>
      </c>
      <c r="CJ53" s="23" t="str">
        <f t="shared" si="72"/>
        <v/>
      </c>
      <c r="CK53" s="23" t="str">
        <f t="shared" si="72"/>
        <v/>
      </c>
      <c r="CL53" s="23" t="str">
        <f t="shared" si="72"/>
        <v/>
      </c>
      <c r="CM53" s="23" t="str">
        <f t="shared" si="72"/>
        <v/>
      </c>
      <c r="CN53" s="23" t="str">
        <f t="shared" si="73"/>
        <v/>
      </c>
      <c r="CO53" s="23" t="str">
        <f t="shared" si="73"/>
        <v/>
      </c>
      <c r="CP53" s="23" t="str">
        <f t="shared" si="73"/>
        <v/>
      </c>
      <c r="CQ53" s="23" t="str">
        <f t="shared" si="73"/>
        <v/>
      </c>
      <c r="CR53" s="23" t="str">
        <f t="shared" si="73"/>
        <v/>
      </c>
      <c r="CS53" s="23" t="str">
        <f t="shared" si="73"/>
        <v/>
      </c>
      <c r="CT53" s="23" t="str">
        <f t="shared" si="73"/>
        <v/>
      </c>
      <c r="CU53" s="23" t="str">
        <f t="shared" si="73"/>
        <v/>
      </c>
      <c r="CV53" s="23" t="str">
        <f t="shared" si="73"/>
        <v/>
      </c>
      <c r="CW53" s="23" t="str">
        <f t="shared" si="73"/>
        <v/>
      </c>
      <c r="CX53" s="23" t="str">
        <f t="shared" si="74"/>
        <v/>
      </c>
      <c r="CY53" s="23" t="str">
        <f t="shared" si="74"/>
        <v/>
      </c>
      <c r="CZ53" s="23" t="str">
        <f t="shared" si="74"/>
        <v/>
      </c>
      <c r="DA53" s="23" t="str">
        <f t="shared" si="74"/>
        <v/>
      </c>
      <c r="DB53" s="23" t="str">
        <f t="shared" si="74"/>
        <v/>
      </c>
      <c r="DC53" s="23" t="str">
        <f t="shared" si="74"/>
        <v/>
      </c>
      <c r="DD53" s="23" t="str">
        <f t="shared" si="74"/>
        <v/>
      </c>
      <c r="DE53" s="23" t="str">
        <f t="shared" si="74"/>
        <v/>
      </c>
      <c r="DF53" s="23" t="str">
        <f t="shared" si="74"/>
        <v/>
      </c>
      <c r="DG53" s="23" t="str">
        <f t="shared" si="74"/>
        <v/>
      </c>
      <c r="DH53" s="23" t="str">
        <f t="shared" si="74"/>
        <v/>
      </c>
      <c r="DI53" s="23" t="str">
        <f t="shared" si="74"/>
        <v/>
      </c>
      <c r="DJ53" s="23" t="str">
        <f t="shared" si="74"/>
        <v/>
      </c>
      <c r="DK53" s="23" t="str">
        <f t="shared" si="74"/>
        <v/>
      </c>
      <c r="DO53" s="61">
        <f t="shared" si="53"/>
        <v>48</v>
      </c>
      <c r="DP53" s="61">
        <f>IF($A53&lt;&gt;"x",$L53*SUMIFS($AF53:$DK53,$AF$4:$DK$4,Jahresscheiben!C$2),0)</f>
        <v>0</v>
      </c>
      <c r="DQ53" s="61">
        <f>IF($A53&lt;&gt;"x",$L53*SUMIFS($AF53:$DK53,$AF$4:$DK$4,Jahresscheiben!D$2),0)</f>
        <v>0</v>
      </c>
      <c r="DR53" s="61">
        <f>IF($A53&lt;&gt;"x",$L53*SUMIFS($AF53:$DK53,$AF$4:$DK$4,Jahresscheiben!E$2),0)</f>
        <v>0</v>
      </c>
      <c r="DS53" s="61">
        <f>IF($A53&lt;&gt;"x",$L53*SUMIFS($AF53:$DK53,$AF$4:$DK$4,Jahresscheiben!F$2),0)</f>
        <v>0</v>
      </c>
      <c r="DT53" s="61">
        <f>IF($A53&lt;&gt;"x",$L53*SUMIFS($AF53:$DK53,$AF$4:$DK$4,Jahresscheiben!G$2),0)</f>
        <v>0</v>
      </c>
      <c r="DU53" s="61">
        <f>IF($A53&lt;&gt;"x",$L53*SUMIFS($AF53:$DK53,$AF$4:$DK$4,Jahresscheiben!H$2),0)</f>
        <v>0</v>
      </c>
      <c r="DV53" s="61">
        <f>IF($A53&lt;&gt;"x",$L53*SUMIFS($AF53:$DK53,$AF$4:$DK$4,Jahresscheiben!I$2),0)</f>
        <v>0</v>
      </c>
      <c r="DW53" s="85"/>
      <c r="DX53" s="61">
        <f t="shared" si="54"/>
        <v>48</v>
      </c>
      <c r="DY53" s="85">
        <f>IF($A53="x",$L53*SUMIFS($AF53:$DK53,$AF$4:$DK$4,Jahresscheiben!C$2)/2,0)</f>
        <v>0</v>
      </c>
      <c r="DZ53" s="85">
        <f>IF($A53="x",$L53*SUMIFS($AF53:$DK53,$AF$4:$DK$4,Jahresscheiben!D$2)/2,0)</f>
        <v>0</v>
      </c>
      <c r="EA53" s="85">
        <f>IF($A53="x",$L53*SUMIFS($AF53:$DK53,$AF$4:$DK$4,Jahresscheiben!E$2)/2,0)</f>
        <v>0</v>
      </c>
      <c r="EB53" s="85">
        <f>IF($A53="x",$L53*SUMIFS($AF53:$DK53,$AF$4:$DK$4,Jahresscheiben!F$2)/2,0)</f>
        <v>0</v>
      </c>
      <c r="EC53" s="85">
        <f>IF($A53="x",$L53*SUMIFS($AF53:$DK53,$AF$4:$DK$4,Jahresscheiben!G$2)/2,0)</f>
        <v>0</v>
      </c>
      <c r="ED53" s="85">
        <f>IF($A53="x",$L53*SUMIFS($AF53:$DK53,$AF$4:$DK$4,Jahresscheiben!H$2)/2,0)</f>
        <v>0</v>
      </c>
      <c r="EE53" s="85">
        <f>IF($A53="x",$L53*SUMIFS($AF53:$DK53,$AF$4:$DK$4,Jahresscheiben!I$2)/2,0)</f>
        <v>0</v>
      </c>
      <c r="EF53" s="85"/>
      <c r="EG53" s="61">
        <f t="shared" si="55"/>
        <v>48</v>
      </c>
      <c r="EH53" s="85" cm="1">
        <f t="array" ref="EH5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53" s="85" cm="1">
        <f t="array" ref="EI5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53" s="85" cm="1">
        <f t="array" ref="EJ5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53" s="85" cm="1">
        <f t="array" ref="EK5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53" s="85" cm="1">
        <f t="array" ref="EL5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53" s="85" cm="1">
        <f t="array" ref="EM5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53" s="85" cm="1">
        <f t="array" ref="EN5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53" s="85"/>
      <c r="EQ53" s="61">
        <f t="shared" si="56"/>
        <v>48</v>
      </c>
      <c r="ER53" s="62">
        <f>IF($A53&lt;&gt;"x",$P53*SUMIFS($AF53:$DK53,$AF$4:$DK$4,Jahresscheiben!C$2),0)</f>
        <v>0</v>
      </c>
      <c r="ES53" s="62">
        <f>IF($A53&lt;&gt;"x",$P53*SUMIFS($AF53:$DK53,$AF$4:$DK$4,Jahresscheiben!D$2),0)</f>
        <v>0</v>
      </c>
      <c r="ET53" s="62">
        <f>IF($A53&lt;&gt;"x",$P53*SUMIFS($AF53:$DK53,$AF$4:$DK$4,Jahresscheiben!E$2),0)</f>
        <v>0</v>
      </c>
      <c r="EU53" s="62">
        <f>IF($A53&lt;&gt;"x",$P53*SUMIFS($AF53:$DK53,$AF$4:$DK$4,Jahresscheiben!F$2),0)</f>
        <v>0</v>
      </c>
      <c r="EV53" s="62">
        <f>IF($A53&lt;&gt;"x",$P53*SUMIFS($AF53:$DK53,$AF$4:$DK$4,Jahresscheiben!G$2),0)</f>
        <v>0</v>
      </c>
      <c r="EW53" s="62">
        <f>IF($A53&lt;&gt;"x",$P53*SUMIFS($AF53:$DK53,$AF$4:$DK$4,Jahresscheiben!H$2),0)</f>
        <v>0</v>
      </c>
      <c r="EX53" s="62">
        <f>IF($A53&lt;&gt;"x",$P53*SUMIFS($AF53:$DK53,$AF$4:$DK$4,Jahresscheiben!I$2),0)</f>
        <v>0</v>
      </c>
      <c r="EY53" s="85"/>
      <c r="EZ53" s="61">
        <f t="shared" si="57"/>
        <v>48</v>
      </c>
      <c r="FA53" s="85">
        <f>IF($A53="x",$P53*SUMIFS($AF53:$DK53,$AF$4:$DK$4,Jahresscheiben!C$2)/2,0)</f>
        <v>0</v>
      </c>
      <c r="FB53" s="85">
        <f>IF($A53="x",$P53*SUMIFS($AF53:$DK53,$AF$4:$DK$4,Jahresscheiben!D$2)/2,0)</f>
        <v>0</v>
      </c>
      <c r="FC53" s="85">
        <f>IF($A53="x",$P53*SUMIFS($AF53:$DK53,$AF$4:$DK$4,Jahresscheiben!E$2)/2,0)</f>
        <v>0</v>
      </c>
      <c r="FD53" s="85">
        <f>IF($A53="x",$P53*SUMIFS($AF53:$DK53,$AF$4:$DK$4,Jahresscheiben!F$2)/2,0)</f>
        <v>0</v>
      </c>
      <c r="FE53" s="85">
        <f>IF($A53="x",$P53*SUMIFS($AF53:$DK53,$AF$4:$DK$4,Jahresscheiben!G$2)/2,0)</f>
        <v>0</v>
      </c>
      <c r="FF53" s="85">
        <f>IF($A53="x",$P53*SUMIFS($AF53:$DK53,$AF$4:$DK$4,Jahresscheiben!H$2)/2,0)</f>
        <v>0</v>
      </c>
      <c r="FG53" s="85">
        <f>IF($A53="x",$P53*SUMIFS($AF53:$DK53,$AF$4:$DK$4,Jahresscheiben!I$2)/2,0)</f>
        <v>0</v>
      </c>
      <c r="FH53" s="85"/>
      <c r="FI53" s="61">
        <f t="shared" si="58"/>
        <v>48</v>
      </c>
      <c r="FJ53" s="85" cm="1">
        <f t="array" ref="FJ5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53" s="85" cm="1">
        <f t="array" ref="FK5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53" s="85" cm="1">
        <f t="array" ref="FL5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53" s="85" cm="1">
        <f t="array" ref="FM5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53" s="85" cm="1">
        <f t="array" ref="FN5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53" s="85" cm="1">
        <f t="array" ref="FO5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53" s="85" cm="1">
        <f t="array" ref="FP5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54" spans="1:172" ht="17" hidden="1" customHeight="1" thickBot="1" x14ac:dyDescent="0.55000000000000004">
      <c r="A54" s="30" t="s">
        <v>24</v>
      </c>
      <c r="B54" s="31">
        <f t="shared" si="50"/>
        <v>0</v>
      </c>
      <c r="C54" s="22">
        <f t="shared" si="51"/>
        <v>49</v>
      </c>
      <c r="D54" s="25"/>
      <c r="E54" s="26"/>
      <c r="F54" s="26"/>
      <c r="G54" s="26"/>
      <c r="H54" s="26"/>
      <c r="I54" s="6" t="str">
        <f t="shared" si="40"/>
        <v/>
      </c>
      <c r="J54" s="6" t="str">
        <f t="shared" si="41"/>
        <v/>
      </c>
      <c r="K54" s="26"/>
      <c r="L54" s="53">
        <v>1</v>
      </c>
      <c r="M54" s="60" cm="1">
        <f t="array" ref="M54" xml:space="preserve">
_xlfn.LET(
_xlpm.Z, _xlfn._xlws.FILTER($DY$6:$EE$65,$DX$6:$DX$65=C54),
_xlpm.Q,_xlfn._xlws.FILTER($DP$6:$DV$65,$DO$6:$DO$65=C54),
IF($A54="x",SUMPRODUCT(_xlpm.Z,$DY$73:$EE$73,EH54:EN54),SUMPRODUCT(_xlpm.Q,$DP$73:$DV$73)))</f>
        <v>0</v>
      </c>
      <c r="N54" s="54" t="str" cm="1">
        <f t="array" ref="N54" xml:space="preserve">
_xlfn.LET(
_xlpm.Z, SUM(IF($A54="x",_xlfn._xlws.FILTER($M$6:$M$65,$A$6:$A$65="x"),_xlfn._xlws.FILTER($M$6:$M$65,$A$6:$A$65&lt;&gt;"x"))),
IF(_xlpm.Z&lt;&gt;0,M54/_xlpm.Z,""))</f>
        <v/>
      </c>
      <c r="O54" s="26"/>
      <c r="P54" s="53">
        <f t="shared" si="52"/>
        <v>1</v>
      </c>
      <c r="Q54" s="60" cm="1">
        <f t="array" ref="Q54" xml:space="preserve">
_xlfn.LET(
_xlpm.Z, _xlfn._xlws.FILTER($FA$6:$FG$65,$EZ$6:$EZ$65=C54),
_xlpm.Q,_xlfn._xlws.FILTER($ER$6:$EX$65,$EQ$6:$EQ$65=C54),
IF($A54="x",SUMPRODUCT(_xlpm.Z,$FA$73:$FG$73,FJ54:FP54),SUMPRODUCT(_xlpm.Q,$ER$73:$EX$73)))</f>
        <v>0</v>
      </c>
      <c r="R54" s="54" t="str" cm="1">
        <f t="array" ref="R54" xml:space="preserve">
_xlfn.LET(
_xlpm.Z, SUM(IF($A54="x",_xlfn._xlws.FILTER($Q$6:$Q$65,$A$6:$A$65="x"),_xlfn._xlws.FILTER($Q$6:$Q$65,$A$6:$A$65&lt;&gt;"x"))),
IF(_xlpm.Z&lt;&gt;0,Q54/_xlpm.Z,""))</f>
        <v/>
      </c>
      <c r="S54" s="26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8"/>
      <c r="AE54" s="28"/>
      <c r="AF54" s="23" t="str">
        <f t="shared" ref="AF54:AO65" si="94">_xlfn.LET(
_xlpm.project_monat,AF$3,
_xlpm.start_monat,$F54,
_xlpm.ende_monat,$G54,
IF(AND(_xlpm.project_monat&gt;=_xlpm.start_monat,_xlpm.project_monat&lt;=_xlpm.ende_monat),IF($A54="x",2,1),""))</f>
        <v/>
      </c>
      <c r="AG54" s="23" t="str">
        <f t="shared" si="94"/>
        <v/>
      </c>
      <c r="AH54" s="23" t="str">
        <f t="shared" si="94"/>
        <v/>
      </c>
      <c r="AI54" s="23" t="str">
        <f t="shared" si="94"/>
        <v/>
      </c>
      <c r="AJ54" s="23" t="str">
        <f t="shared" si="94"/>
        <v/>
      </c>
      <c r="AK54" s="23" t="str">
        <f t="shared" si="94"/>
        <v/>
      </c>
      <c r="AL54" s="23" t="str">
        <f t="shared" si="94"/>
        <v/>
      </c>
      <c r="AM54" s="23" t="str">
        <f t="shared" si="94"/>
        <v/>
      </c>
      <c r="AN54" s="23" t="str">
        <f t="shared" si="94"/>
        <v/>
      </c>
      <c r="AO54" s="23" t="str">
        <f t="shared" si="94"/>
        <v/>
      </c>
      <c r="AP54" s="23" t="str">
        <f t="shared" ref="AP54:AY65" si="95">_xlfn.LET(
_xlpm.project_monat,AP$3,
_xlpm.start_monat,$F54,
_xlpm.ende_monat,$G54,
IF(AND(_xlpm.project_monat&gt;=_xlpm.start_monat,_xlpm.project_monat&lt;=_xlpm.ende_monat),IF($A54="x",2,1),""))</f>
        <v/>
      </c>
      <c r="AQ54" s="23" t="str">
        <f t="shared" si="95"/>
        <v/>
      </c>
      <c r="AR54" s="23" t="str">
        <f t="shared" si="95"/>
        <v/>
      </c>
      <c r="AS54" s="23" t="str">
        <f t="shared" si="95"/>
        <v/>
      </c>
      <c r="AT54" s="23" t="str">
        <f t="shared" si="95"/>
        <v/>
      </c>
      <c r="AU54" s="23" t="str">
        <f t="shared" si="95"/>
        <v/>
      </c>
      <c r="AV54" s="23" t="str">
        <f t="shared" si="95"/>
        <v/>
      </c>
      <c r="AW54" s="23" t="str">
        <f t="shared" si="95"/>
        <v/>
      </c>
      <c r="AX54" s="23" t="str">
        <f t="shared" si="95"/>
        <v/>
      </c>
      <c r="AY54" s="23" t="str">
        <f t="shared" si="95"/>
        <v/>
      </c>
      <c r="AZ54" s="23" t="str">
        <f t="shared" ref="AZ54:BI65" si="96">_xlfn.LET(
_xlpm.project_monat,AZ$3,
_xlpm.start_monat,$F54,
_xlpm.ende_monat,$G54,
IF(AND(_xlpm.project_monat&gt;=_xlpm.start_monat,_xlpm.project_monat&lt;=_xlpm.ende_monat),IF($A54="x",2,1),""))</f>
        <v/>
      </c>
      <c r="BA54" s="23" t="str">
        <f t="shared" si="96"/>
        <v/>
      </c>
      <c r="BB54" s="23" t="str">
        <f t="shared" si="96"/>
        <v/>
      </c>
      <c r="BC54" s="23" t="str">
        <f t="shared" si="96"/>
        <v/>
      </c>
      <c r="BD54" s="23" t="str">
        <f t="shared" si="96"/>
        <v/>
      </c>
      <c r="BE54" s="23" t="str">
        <f t="shared" si="96"/>
        <v/>
      </c>
      <c r="BF54" s="23" t="str">
        <f t="shared" si="96"/>
        <v/>
      </c>
      <c r="BG54" s="23" t="str">
        <f t="shared" si="96"/>
        <v/>
      </c>
      <c r="BH54" s="23" t="str">
        <f t="shared" si="96"/>
        <v/>
      </c>
      <c r="BI54" s="23" t="str">
        <f t="shared" si="96"/>
        <v/>
      </c>
      <c r="BJ54" s="23" t="str">
        <f t="shared" ref="BJ54:BS65" si="97">_xlfn.LET(
_xlpm.project_monat,BJ$3,
_xlpm.start_monat,$F54,
_xlpm.ende_monat,$G54,
IF(AND(_xlpm.project_monat&gt;=_xlpm.start_monat,_xlpm.project_monat&lt;=_xlpm.ende_monat),IF($A54="x",2,1),""))</f>
        <v/>
      </c>
      <c r="BK54" s="23" t="str">
        <f t="shared" si="97"/>
        <v/>
      </c>
      <c r="BL54" s="23" t="str">
        <f t="shared" si="97"/>
        <v/>
      </c>
      <c r="BM54" s="23" t="str">
        <f t="shared" si="97"/>
        <v/>
      </c>
      <c r="BN54" s="23" t="str">
        <f t="shared" si="97"/>
        <v/>
      </c>
      <c r="BO54" s="23" t="str">
        <f t="shared" si="97"/>
        <v/>
      </c>
      <c r="BP54" s="23" t="str">
        <f t="shared" si="97"/>
        <v/>
      </c>
      <c r="BQ54" s="23" t="str">
        <f t="shared" si="97"/>
        <v/>
      </c>
      <c r="BR54" s="23" t="str">
        <f t="shared" si="97"/>
        <v/>
      </c>
      <c r="BS54" s="23" t="str">
        <f t="shared" si="97"/>
        <v/>
      </c>
      <c r="BT54" s="23" t="str">
        <f t="shared" ref="BT54:CC65" si="98">_xlfn.LET(
_xlpm.project_monat,BT$3,
_xlpm.start_monat,$F54,
_xlpm.ende_monat,$G54,
IF(AND(_xlpm.project_monat&gt;=_xlpm.start_monat,_xlpm.project_monat&lt;=_xlpm.ende_monat),IF($A54="x",2,1),""))</f>
        <v/>
      </c>
      <c r="BU54" s="23" t="str">
        <f t="shared" si="98"/>
        <v/>
      </c>
      <c r="BV54" s="23" t="str">
        <f t="shared" si="98"/>
        <v/>
      </c>
      <c r="BW54" s="23" t="str">
        <f t="shared" si="98"/>
        <v/>
      </c>
      <c r="BX54" s="23" t="str">
        <f t="shared" si="98"/>
        <v/>
      </c>
      <c r="BY54" s="23" t="str">
        <f t="shared" si="98"/>
        <v/>
      </c>
      <c r="BZ54" s="23" t="str">
        <f t="shared" si="98"/>
        <v/>
      </c>
      <c r="CA54" s="23" t="str">
        <f t="shared" si="98"/>
        <v/>
      </c>
      <c r="CB54" s="23" t="str">
        <f t="shared" si="98"/>
        <v/>
      </c>
      <c r="CC54" s="23" t="str">
        <f t="shared" si="98"/>
        <v/>
      </c>
      <c r="CD54" s="23" t="str">
        <f t="shared" ref="CD54:CM65" si="99">_xlfn.LET(
_xlpm.project_monat,CD$3,
_xlpm.start_monat,$F54,
_xlpm.ende_monat,$G54,
IF(AND(_xlpm.project_monat&gt;=_xlpm.start_monat,_xlpm.project_monat&lt;=_xlpm.ende_monat),IF($A54="x",2,1),""))</f>
        <v/>
      </c>
      <c r="CE54" s="23" t="str">
        <f t="shared" si="99"/>
        <v/>
      </c>
      <c r="CF54" s="23" t="str">
        <f t="shared" si="99"/>
        <v/>
      </c>
      <c r="CG54" s="23" t="str">
        <f t="shared" si="99"/>
        <v/>
      </c>
      <c r="CH54" s="23" t="str">
        <f t="shared" si="99"/>
        <v/>
      </c>
      <c r="CI54" s="23" t="str">
        <f t="shared" si="99"/>
        <v/>
      </c>
      <c r="CJ54" s="23" t="str">
        <f t="shared" si="99"/>
        <v/>
      </c>
      <c r="CK54" s="23" t="str">
        <f t="shared" si="99"/>
        <v/>
      </c>
      <c r="CL54" s="23" t="str">
        <f t="shared" si="99"/>
        <v/>
      </c>
      <c r="CM54" s="23" t="str">
        <f t="shared" si="99"/>
        <v/>
      </c>
      <c r="CN54" s="23" t="str">
        <f t="shared" ref="CN54:CW65" si="100">_xlfn.LET(
_xlpm.project_monat,CN$3,
_xlpm.start_monat,$F54,
_xlpm.ende_monat,$G54,
IF(AND(_xlpm.project_monat&gt;=_xlpm.start_monat,_xlpm.project_monat&lt;=_xlpm.ende_monat),IF($A54="x",2,1),""))</f>
        <v/>
      </c>
      <c r="CO54" s="23" t="str">
        <f t="shared" si="100"/>
        <v/>
      </c>
      <c r="CP54" s="23" t="str">
        <f t="shared" si="100"/>
        <v/>
      </c>
      <c r="CQ54" s="23" t="str">
        <f t="shared" si="100"/>
        <v/>
      </c>
      <c r="CR54" s="23" t="str">
        <f t="shared" si="100"/>
        <v/>
      </c>
      <c r="CS54" s="23" t="str">
        <f t="shared" si="100"/>
        <v/>
      </c>
      <c r="CT54" s="23" t="str">
        <f t="shared" si="100"/>
        <v/>
      </c>
      <c r="CU54" s="23" t="str">
        <f t="shared" si="100"/>
        <v/>
      </c>
      <c r="CV54" s="23" t="str">
        <f t="shared" si="100"/>
        <v/>
      </c>
      <c r="CW54" s="23" t="str">
        <f t="shared" si="100"/>
        <v/>
      </c>
      <c r="CX54" s="23" t="str">
        <f t="shared" ref="CX54:DK65" si="101">_xlfn.LET(
_xlpm.project_monat,CX$3,
_xlpm.start_monat,$F54,
_xlpm.ende_monat,$G54,
IF(AND(_xlpm.project_monat&gt;=_xlpm.start_monat,_xlpm.project_monat&lt;=_xlpm.ende_monat),IF($A54="x",2,1),""))</f>
        <v/>
      </c>
      <c r="CY54" s="23" t="str">
        <f t="shared" si="101"/>
        <v/>
      </c>
      <c r="CZ54" s="23" t="str">
        <f t="shared" si="101"/>
        <v/>
      </c>
      <c r="DA54" s="23" t="str">
        <f t="shared" si="101"/>
        <v/>
      </c>
      <c r="DB54" s="23" t="str">
        <f t="shared" si="101"/>
        <v/>
      </c>
      <c r="DC54" s="23" t="str">
        <f t="shared" si="101"/>
        <v/>
      </c>
      <c r="DD54" s="23" t="str">
        <f t="shared" si="101"/>
        <v/>
      </c>
      <c r="DE54" s="23" t="str">
        <f t="shared" si="101"/>
        <v/>
      </c>
      <c r="DF54" s="23" t="str">
        <f t="shared" si="101"/>
        <v/>
      </c>
      <c r="DG54" s="23" t="str">
        <f t="shared" si="101"/>
        <v/>
      </c>
      <c r="DH54" s="23" t="str">
        <f t="shared" si="101"/>
        <v/>
      </c>
      <c r="DI54" s="23" t="str">
        <f t="shared" si="101"/>
        <v/>
      </c>
      <c r="DJ54" s="23" t="str">
        <f t="shared" si="101"/>
        <v/>
      </c>
      <c r="DK54" s="23" t="str">
        <f t="shared" si="101"/>
        <v/>
      </c>
      <c r="DO54" s="61">
        <f t="shared" si="53"/>
        <v>49</v>
      </c>
      <c r="DP54" s="61">
        <f>IF($A54&lt;&gt;"x",$L54*SUMIFS($AF54:$DK54,$AF$4:$DK$4,Jahresscheiben!C$2),0)</f>
        <v>0</v>
      </c>
      <c r="DQ54" s="61">
        <f>IF($A54&lt;&gt;"x",$L54*SUMIFS($AF54:$DK54,$AF$4:$DK$4,Jahresscheiben!D$2),0)</f>
        <v>0</v>
      </c>
      <c r="DR54" s="61">
        <f>IF($A54&lt;&gt;"x",$L54*SUMIFS($AF54:$DK54,$AF$4:$DK$4,Jahresscheiben!E$2),0)</f>
        <v>0</v>
      </c>
      <c r="DS54" s="61">
        <f>IF($A54&lt;&gt;"x",$L54*SUMIFS($AF54:$DK54,$AF$4:$DK$4,Jahresscheiben!F$2),0)</f>
        <v>0</v>
      </c>
      <c r="DT54" s="61">
        <f>IF($A54&lt;&gt;"x",$L54*SUMIFS($AF54:$DK54,$AF$4:$DK$4,Jahresscheiben!G$2),0)</f>
        <v>0</v>
      </c>
      <c r="DU54" s="61">
        <f>IF($A54&lt;&gt;"x",$L54*SUMIFS($AF54:$DK54,$AF$4:$DK$4,Jahresscheiben!H$2),0)</f>
        <v>0</v>
      </c>
      <c r="DV54" s="61">
        <f>IF($A54&lt;&gt;"x",$L54*SUMIFS($AF54:$DK54,$AF$4:$DK$4,Jahresscheiben!I$2),0)</f>
        <v>0</v>
      </c>
      <c r="DW54" s="85"/>
      <c r="DX54" s="61">
        <f t="shared" si="54"/>
        <v>49</v>
      </c>
      <c r="DY54" s="85">
        <f>IF($A54="x",$L54*SUMIFS($AF54:$DK54,$AF$4:$DK$4,Jahresscheiben!C$2)/2,0)</f>
        <v>0</v>
      </c>
      <c r="DZ54" s="85">
        <f>IF($A54="x",$L54*SUMIFS($AF54:$DK54,$AF$4:$DK$4,Jahresscheiben!D$2)/2,0)</f>
        <v>0</v>
      </c>
      <c r="EA54" s="85">
        <f>IF($A54="x",$L54*SUMIFS($AF54:$DK54,$AF$4:$DK$4,Jahresscheiben!E$2)/2,0)</f>
        <v>0</v>
      </c>
      <c r="EB54" s="85">
        <f>IF($A54="x",$L54*SUMIFS($AF54:$DK54,$AF$4:$DK$4,Jahresscheiben!F$2)/2,0)</f>
        <v>0</v>
      </c>
      <c r="EC54" s="85">
        <f>IF($A54="x",$L54*SUMIFS($AF54:$DK54,$AF$4:$DK$4,Jahresscheiben!G$2)/2,0)</f>
        <v>0</v>
      </c>
      <c r="ED54" s="85">
        <f>IF($A54="x",$L54*SUMIFS($AF54:$DK54,$AF$4:$DK$4,Jahresscheiben!H$2)/2,0)</f>
        <v>0</v>
      </c>
      <c r="EE54" s="85">
        <f>IF($A54="x",$L54*SUMIFS($AF54:$DK54,$AF$4:$DK$4,Jahresscheiben!I$2)/2,0)</f>
        <v>0</v>
      </c>
      <c r="EF54" s="85"/>
      <c r="EG54" s="61">
        <f t="shared" si="55"/>
        <v>49</v>
      </c>
      <c r="EH54" s="85" cm="1">
        <f t="array" ref="EH5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54" s="85" cm="1">
        <f t="array" ref="EI5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54" s="85" cm="1">
        <f t="array" ref="EJ5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54" s="85" cm="1">
        <f t="array" ref="EK5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54" s="85" cm="1">
        <f t="array" ref="EL5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54" s="85" cm="1">
        <f t="array" ref="EM5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54" s="85" cm="1">
        <f t="array" ref="EN5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54" s="85"/>
      <c r="EQ54" s="61">
        <f t="shared" si="56"/>
        <v>49</v>
      </c>
      <c r="ER54" s="62">
        <f>IF($A54&lt;&gt;"x",$P54*SUMIFS($AF54:$DK54,$AF$4:$DK$4,Jahresscheiben!C$2),0)</f>
        <v>0</v>
      </c>
      <c r="ES54" s="62">
        <f>IF($A54&lt;&gt;"x",$P54*SUMIFS($AF54:$DK54,$AF$4:$DK$4,Jahresscheiben!D$2),0)</f>
        <v>0</v>
      </c>
      <c r="ET54" s="62">
        <f>IF($A54&lt;&gt;"x",$P54*SUMIFS($AF54:$DK54,$AF$4:$DK$4,Jahresscheiben!E$2),0)</f>
        <v>0</v>
      </c>
      <c r="EU54" s="62">
        <f>IF($A54&lt;&gt;"x",$P54*SUMIFS($AF54:$DK54,$AF$4:$DK$4,Jahresscheiben!F$2),0)</f>
        <v>0</v>
      </c>
      <c r="EV54" s="62">
        <f>IF($A54&lt;&gt;"x",$P54*SUMIFS($AF54:$DK54,$AF$4:$DK$4,Jahresscheiben!G$2),0)</f>
        <v>0</v>
      </c>
      <c r="EW54" s="62">
        <f>IF($A54&lt;&gt;"x",$P54*SUMIFS($AF54:$DK54,$AF$4:$DK$4,Jahresscheiben!H$2),0)</f>
        <v>0</v>
      </c>
      <c r="EX54" s="62">
        <f>IF($A54&lt;&gt;"x",$P54*SUMIFS($AF54:$DK54,$AF$4:$DK$4,Jahresscheiben!I$2),0)</f>
        <v>0</v>
      </c>
      <c r="EY54" s="85"/>
      <c r="EZ54" s="61">
        <f t="shared" si="57"/>
        <v>49</v>
      </c>
      <c r="FA54" s="85">
        <f>IF($A54="x",$P54*SUMIFS($AF54:$DK54,$AF$4:$DK$4,Jahresscheiben!C$2)/2,0)</f>
        <v>0</v>
      </c>
      <c r="FB54" s="85">
        <f>IF($A54="x",$P54*SUMIFS($AF54:$DK54,$AF$4:$DK$4,Jahresscheiben!D$2)/2,0)</f>
        <v>0</v>
      </c>
      <c r="FC54" s="85">
        <f>IF($A54="x",$P54*SUMIFS($AF54:$DK54,$AF$4:$DK$4,Jahresscheiben!E$2)/2,0)</f>
        <v>0</v>
      </c>
      <c r="FD54" s="85">
        <f>IF($A54="x",$P54*SUMIFS($AF54:$DK54,$AF$4:$DK$4,Jahresscheiben!F$2)/2,0)</f>
        <v>0</v>
      </c>
      <c r="FE54" s="85">
        <f>IF($A54="x",$P54*SUMIFS($AF54:$DK54,$AF$4:$DK$4,Jahresscheiben!G$2)/2,0)</f>
        <v>0</v>
      </c>
      <c r="FF54" s="85">
        <f>IF($A54="x",$P54*SUMIFS($AF54:$DK54,$AF$4:$DK$4,Jahresscheiben!H$2)/2,0)</f>
        <v>0</v>
      </c>
      <c r="FG54" s="85">
        <f>IF($A54="x",$P54*SUMIFS($AF54:$DK54,$AF$4:$DK$4,Jahresscheiben!I$2)/2,0)</f>
        <v>0</v>
      </c>
      <c r="FH54" s="85"/>
      <c r="FI54" s="61">
        <f t="shared" si="58"/>
        <v>49</v>
      </c>
      <c r="FJ54" s="85" cm="1">
        <f t="array" ref="FJ5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54" s="85" cm="1">
        <f t="array" ref="FK5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54" s="85" cm="1">
        <f t="array" ref="FL5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54" s="85" cm="1">
        <f t="array" ref="FM5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54" s="85" cm="1">
        <f t="array" ref="FN5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54" s="85" cm="1">
        <f t="array" ref="FO5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54" s="85" cm="1">
        <f t="array" ref="FP5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55" spans="1:172" ht="17" hidden="1" customHeight="1" thickBot="1" x14ac:dyDescent="0.55000000000000004">
      <c r="A55" s="30" t="s">
        <v>24</v>
      </c>
      <c r="B55" s="31">
        <f t="shared" si="50"/>
        <v>0</v>
      </c>
      <c r="C55" s="22">
        <f t="shared" si="51"/>
        <v>50</v>
      </c>
      <c r="D55" s="25"/>
      <c r="E55" s="26"/>
      <c r="F55" s="26"/>
      <c r="G55" s="26"/>
      <c r="H55" s="26"/>
      <c r="I55" s="6" t="str">
        <f t="shared" si="40"/>
        <v/>
      </c>
      <c r="J55" s="6" t="str">
        <f t="shared" si="41"/>
        <v/>
      </c>
      <c r="K55" s="26"/>
      <c r="L55" s="53">
        <v>1</v>
      </c>
      <c r="M55" s="60" cm="1">
        <f t="array" ref="M55" xml:space="preserve">
_xlfn.LET(
_xlpm.Z, _xlfn._xlws.FILTER($DY$6:$EE$65,$DX$6:$DX$65=C55),
_xlpm.Q,_xlfn._xlws.FILTER($DP$6:$DV$65,$DO$6:$DO$65=C55),
IF($A55="x",SUMPRODUCT(_xlpm.Z,$DY$73:$EE$73,EH55:EN55),SUMPRODUCT(_xlpm.Q,$DP$73:$DV$73)))</f>
        <v>0</v>
      </c>
      <c r="N55" s="54" t="str" cm="1">
        <f t="array" ref="N55" xml:space="preserve">
_xlfn.LET(
_xlpm.Z, SUM(IF($A55="x",_xlfn._xlws.FILTER($M$6:$M$65,$A$6:$A$65="x"),_xlfn._xlws.FILTER($M$6:$M$65,$A$6:$A$65&lt;&gt;"x"))),
IF(_xlpm.Z&lt;&gt;0,M55/_xlpm.Z,""))</f>
        <v/>
      </c>
      <c r="O55" s="26"/>
      <c r="P55" s="53">
        <f t="shared" si="52"/>
        <v>1</v>
      </c>
      <c r="Q55" s="60" cm="1">
        <f t="array" ref="Q55" xml:space="preserve">
_xlfn.LET(
_xlpm.Z, _xlfn._xlws.FILTER($FA$6:$FG$65,$EZ$6:$EZ$65=C55),
_xlpm.Q,_xlfn._xlws.FILTER($ER$6:$EX$65,$EQ$6:$EQ$65=C55),
IF($A55="x",SUMPRODUCT(_xlpm.Z,$FA$73:$FG$73,FJ55:FP55),SUMPRODUCT(_xlpm.Q,$ER$73:$EX$73)))</f>
        <v>0</v>
      </c>
      <c r="R55" s="54" t="str" cm="1">
        <f t="array" ref="R55" xml:space="preserve">
_xlfn.LET(
_xlpm.Z, SUM(IF($A55="x",_xlfn._xlws.FILTER($Q$6:$Q$65,$A$6:$A$65="x"),_xlfn._xlws.FILTER($Q$6:$Q$65,$A$6:$A$65&lt;&gt;"x"))),
IF(_xlpm.Z&lt;&gt;0,Q55/_xlpm.Z,""))</f>
        <v/>
      </c>
      <c r="S55" s="26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8"/>
      <c r="AE55" s="28"/>
      <c r="AF55" s="23" t="str">
        <f t="shared" si="94"/>
        <v/>
      </c>
      <c r="AG55" s="23" t="str">
        <f t="shared" si="94"/>
        <v/>
      </c>
      <c r="AH55" s="23" t="str">
        <f t="shared" si="94"/>
        <v/>
      </c>
      <c r="AI55" s="23" t="str">
        <f t="shared" si="94"/>
        <v/>
      </c>
      <c r="AJ55" s="23" t="str">
        <f t="shared" si="94"/>
        <v/>
      </c>
      <c r="AK55" s="23" t="str">
        <f t="shared" si="94"/>
        <v/>
      </c>
      <c r="AL55" s="23" t="str">
        <f t="shared" si="94"/>
        <v/>
      </c>
      <c r="AM55" s="23" t="str">
        <f t="shared" si="94"/>
        <v/>
      </c>
      <c r="AN55" s="23" t="str">
        <f t="shared" si="94"/>
        <v/>
      </c>
      <c r="AO55" s="23" t="str">
        <f t="shared" si="94"/>
        <v/>
      </c>
      <c r="AP55" s="23" t="str">
        <f t="shared" si="95"/>
        <v/>
      </c>
      <c r="AQ55" s="23" t="str">
        <f t="shared" si="95"/>
        <v/>
      </c>
      <c r="AR55" s="23" t="str">
        <f t="shared" si="95"/>
        <v/>
      </c>
      <c r="AS55" s="23" t="str">
        <f t="shared" si="95"/>
        <v/>
      </c>
      <c r="AT55" s="23" t="str">
        <f t="shared" si="95"/>
        <v/>
      </c>
      <c r="AU55" s="23" t="str">
        <f t="shared" si="95"/>
        <v/>
      </c>
      <c r="AV55" s="23" t="str">
        <f t="shared" si="95"/>
        <v/>
      </c>
      <c r="AW55" s="23" t="str">
        <f t="shared" si="95"/>
        <v/>
      </c>
      <c r="AX55" s="23" t="str">
        <f t="shared" si="95"/>
        <v/>
      </c>
      <c r="AY55" s="23" t="str">
        <f t="shared" si="95"/>
        <v/>
      </c>
      <c r="AZ55" s="23" t="str">
        <f t="shared" si="96"/>
        <v/>
      </c>
      <c r="BA55" s="23" t="str">
        <f t="shared" si="96"/>
        <v/>
      </c>
      <c r="BB55" s="23" t="str">
        <f t="shared" si="96"/>
        <v/>
      </c>
      <c r="BC55" s="23" t="str">
        <f t="shared" si="96"/>
        <v/>
      </c>
      <c r="BD55" s="23" t="str">
        <f t="shared" si="96"/>
        <v/>
      </c>
      <c r="BE55" s="23" t="str">
        <f t="shared" si="96"/>
        <v/>
      </c>
      <c r="BF55" s="23" t="str">
        <f t="shared" si="96"/>
        <v/>
      </c>
      <c r="BG55" s="23" t="str">
        <f t="shared" si="96"/>
        <v/>
      </c>
      <c r="BH55" s="23" t="str">
        <f t="shared" si="96"/>
        <v/>
      </c>
      <c r="BI55" s="23" t="str">
        <f t="shared" si="96"/>
        <v/>
      </c>
      <c r="BJ55" s="23" t="str">
        <f t="shared" si="97"/>
        <v/>
      </c>
      <c r="BK55" s="23" t="str">
        <f t="shared" si="97"/>
        <v/>
      </c>
      <c r="BL55" s="23" t="str">
        <f t="shared" si="97"/>
        <v/>
      </c>
      <c r="BM55" s="23" t="str">
        <f t="shared" si="97"/>
        <v/>
      </c>
      <c r="BN55" s="23" t="str">
        <f t="shared" si="97"/>
        <v/>
      </c>
      <c r="BO55" s="23" t="str">
        <f t="shared" si="97"/>
        <v/>
      </c>
      <c r="BP55" s="23" t="str">
        <f t="shared" si="97"/>
        <v/>
      </c>
      <c r="BQ55" s="23" t="str">
        <f t="shared" si="97"/>
        <v/>
      </c>
      <c r="BR55" s="23" t="str">
        <f t="shared" si="97"/>
        <v/>
      </c>
      <c r="BS55" s="23" t="str">
        <f t="shared" si="97"/>
        <v/>
      </c>
      <c r="BT55" s="23" t="str">
        <f t="shared" si="98"/>
        <v/>
      </c>
      <c r="BU55" s="23" t="str">
        <f t="shared" si="98"/>
        <v/>
      </c>
      <c r="BV55" s="23" t="str">
        <f t="shared" si="98"/>
        <v/>
      </c>
      <c r="BW55" s="23" t="str">
        <f t="shared" si="98"/>
        <v/>
      </c>
      <c r="BX55" s="23" t="str">
        <f t="shared" si="98"/>
        <v/>
      </c>
      <c r="BY55" s="23" t="str">
        <f t="shared" si="98"/>
        <v/>
      </c>
      <c r="BZ55" s="23" t="str">
        <f t="shared" si="98"/>
        <v/>
      </c>
      <c r="CA55" s="23" t="str">
        <f t="shared" si="98"/>
        <v/>
      </c>
      <c r="CB55" s="23" t="str">
        <f t="shared" si="98"/>
        <v/>
      </c>
      <c r="CC55" s="23" t="str">
        <f t="shared" si="98"/>
        <v/>
      </c>
      <c r="CD55" s="23" t="str">
        <f t="shared" si="99"/>
        <v/>
      </c>
      <c r="CE55" s="23" t="str">
        <f t="shared" si="99"/>
        <v/>
      </c>
      <c r="CF55" s="23" t="str">
        <f t="shared" si="99"/>
        <v/>
      </c>
      <c r="CG55" s="23" t="str">
        <f t="shared" si="99"/>
        <v/>
      </c>
      <c r="CH55" s="23" t="str">
        <f t="shared" si="99"/>
        <v/>
      </c>
      <c r="CI55" s="23" t="str">
        <f t="shared" si="99"/>
        <v/>
      </c>
      <c r="CJ55" s="23" t="str">
        <f t="shared" si="99"/>
        <v/>
      </c>
      <c r="CK55" s="23" t="str">
        <f t="shared" si="99"/>
        <v/>
      </c>
      <c r="CL55" s="23" t="str">
        <f t="shared" si="99"/>
        <v/>
      </c>
      <c r="CM55" s="23" t="str">
        <f t="shared" si="99"/>
        <v/>
      </c>
      <c r="CN55" s="23" t="str">
        <f t="shared" si="100"/>
        <v/>
      </c>
      <c r="CO55" s="23" t="str">
        <f t="shared" si="100"/>
        <v/>
      </c>
      <c r="CP55" s="23" t="str">
        <f t="shared" si="100"/>
        <v/>
      </c>
      <c r="CQ55" s="23" t="str">
        <f t="shared" si="100"/>
        <v/>
      </c>
      <c r="CR55" s="23" t="str">
        <f t="shared" si="100"/>
        <v/>
      </c>
      <c r="CS55" s="23" t="str">
        <f t="shared" si="100"/>
        <v/>
      </c>
      <c r="CT55" s="23" t="str">
        <f t="shared" si="100"/>
        <v/>
      </c>
      <c r="CU55" s="23" t="str">
        <f t="shared" si="100"/>
        <v/>
      </c>
      <c r="CV55" s="23" t="str">
        <f t="shared" si="100"/>
        <v/>
      </c>
      <c r="CW55" s="23" t="str">
        <f t="shared" si="100"/>
        <v/>
      </c>
      <c r="CX55" s="23" t="str">
        <f t="shared" si="101"/>
        <v/>
      </c>
      <c r="CY55" s="23" t="str">
        <f t="shared" si="101"/>
        <v/>
      </c>
      <c r="CZ55" s="23" t="str">
        <f t="shared" si="101"/>
        <v/>
      </c>
      <c r="DA55" s="23" t="str">
        <f t="shared" si="101"/>
        <v/>
      </c>
      <c r="DB55" s="23" t="str">
        <f t="shared" si="101"/>
        <v/>
      </c>
      <c r="DC55" s="23" t="str">
        <f t="shared" si="101"/>
        <v/>
      </c>
      <c r="DD55" s="23" t="str">
        <f t="shared" si="101"/>
        <v/>
      </c>
      <c r="DE55" s="23" t="str">
        <f t="shared" si="101"/>
        <v/>
      </c>
      <c r="DF55" s="23" t="str">
        <f t="shared" si="101"/>
        <v/>
      </c>
      <c r="DG55" s="23" t="str">
        <f t="shared" si="101"/>
        <v/>
      </c>
      <c r="DH55" s="23" t="str">
        <f t="shared" si="101"/>
        <v/>
      </c>
      <c r="DI55" s="23" t="str">
        <f t="shared" si="101"/>
        <v/>
      </c>
      <c r="DJ55" s="23" t="str">
        <f t="shared" si="101"/>
        <v/>
      </c>
      <c r="DK55" s="23" t="str">
        <f t="shared" si="101"/>
        <v/>
      </c>
      <c r="DO55" s="61">
        <f t="shared" si="53"/>
        <v>50</v>
      </c>
      <c r="DP55" s="61">
        <f>IF($A55&lt;&gt;"x",$L55*SUMIFS($AF55:$DK55,$AF$4:$DK$4,Jahresscheiben!C$2),0)</f>
        <v>0</v>
      </c>
      <c r="DQ55" s="61">
        <f>IF($A55&lt;&gt;"x",$L55*SUMIFS($AF55:$DK55,$AF$4:$DK$4,Jahresscheiben!D$2),0)</f>
        <v>0</v>
      </c>
      <c r="DR55" s="61">
        <f>IF($A55&lt;&gt;"x",$L55*SUMIFS($AF55:$DK55,$AF$4:$DK$4,Jahresscheiben!E$2),0)</f>
        <v>0</v>
      </c>
      <c r="DS55" s="61">
        <f>IF($A55&lt;&gt;"x",$L55*SUMIFS($AF55:$DK55,$AF$4:$DK$4,Jahresscheiben!F$2),0)</f>
        <v>0</v>
      </c>
      <c r="DT55" s="61">
        <f>IF($A55&lt;&gt;"x",$L55*SUMIFS($AF55:$DK55,$AF$4:$DK$4,Jahresscheiben!G$2),0)</f>
        <v>0</v>
      </c>
      <c r="DU55" s="61">
        <f>IF($A55&lt;&gt;"x",$L55*SUMIFS($AF55:$DK55,$AF$4:$DK$4,Jahresscheiben!H$2),0)</f>
        <v>0</v>
      </c>
      <c r="DV55" s="61">
        <f>IF($A55&lt;&gt;"x",$L55*SUMIFS($AF55:$DK55,$AF$4:$DK$4,Jahresscheiben!I$2),0)</f>
        <v>0</v>
      </c>
      <c r="DW55" s="85"/>
      <c r="DX55" s="61">
        <f t="shared" si="54"/>
        <v>50</v>
      </c>
      <c r="DY55" s="85">
        <f>IF($A55="x",$L55*SUMIFS($AF55:$DK55,$AF$4:$DK$4,Jahresscheiben!C$2)/2,0)</f>
        <v>0</v>
      </c>
      <c r="DZ55" s="85">
        <f>IF($A55="x",$L55*SUMIFS($AF55:$DK55,$AF$4:$DK$4,Jahresscheiben!D$2)/2,0)</f>
        <v>0</v>
      </c>
      <c r="EA55" s="85">
        <f>IF($A55="x",$L55*SUMIFS($AF55:$DK55,$AF$4:$DK$4,Jahresscheiben!E$2)/2,0)</f>
        <v>0</v>
      </c>
      <c r="EB55" s="85">
        <f>IF($A55="x",$L55*SUMIFS($AF55:$DK55,$AF$4:$DK$4,Jahresscheiben!F$2)/2,0)</f>
        <v>0</v>
      </c>
      <c r="EC55" s="85">
        <f>IF($A55="x",$L55*SUMIFS($AF55:$DK55,$AF$4:$DK$4,Jahresscheiben!G$2)/2,0)</f>
        <v>0</v>
      </c>
      <c r="ED55" s="85">
        <f>IF($A55="x",$L55*SUMIFS($AF55:$DK55,$AF$4:$DK$4,Jahresscheiben!H$2)/2,0)</f>
        <v>0</v>
      </c>
      <c r="EE55" s="85">
        <f>IF($A55="x",$L55*SUMIFS($AF55:$DK55,$AF$4:$DK$4,Jahresscheiben!I$2)/2,0)</f>
        <v>0</v>
      </c>
      <c r="EF55" s="85"/>
      <c r="EG55" s="61">
        <f t="shared" si="55"/>
        <v>50</v>
      </c>
      <c r="EH55" s="85" cm="1">
        <f t="array" ref="EH5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55" s="85" cm="1">
        <f t="array" ref="EI5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55" s="85" cm="1">
        <f t="array" ref="EJ5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55" s="85" cm="1">
        <f t="array" ref="EK5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55" s="85" cm="1">
        <f t="array" ref="EL5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55" s="85" cm="1">
        <f t="array" ref="EM5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55" s="85" cm="1">
        <f t="array" ref="EN5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55" s="85"/>
      <c r="EQ55" s="61">
        <f t="shared" si="56"/>
        <v>50</v>
      </c>
      <c r="ER55" s="62">
        <f>IF($A55&lt;&gt;"x",$P55*SUMIFS($AF55:$DK55,$AF$4:$DK$4,Jahresscheiben!C$2),0)</f>
        <v>0</v>
      </c>
      <c r="ES55" s="62">
        <f>IF($A55&lt;&gt;"x",$P55*SUMIFS($AF55:$DK55,$AF$4:$DK$4,Jahresscheiben!D$2),0)</f>
        <v>0</v>
      </c>
      <c r="ET55" s="62">
        <f>IF($A55&lt;&gt;"x",$P55*SUMIFS($AF55:$DK55,$AF$4:$DK$4,Jahresscheiben!E$2),0)</f>
        <v>0</v>
      </c>
      <c r="EU55" s="62">
        <f>IF($A55&lt;&gt;"x",$P55*SUMIFS($AF55:$DK55,$AF$4:$DK$4,Jahresscheiben!F$2),0)</f>
        <v>0</v>
      </c>
      <c r="EV55" s="62">
        <f>IF($A55&lt;&gt;"x",$P55*SUMIFS($AF55:$DK55,$AF$4:$DK$4,Jahresscheiben!G$2),0)</f>
        <v>0</v>
      </c>
      <c r="EW55" s="62">
        <f>IF($A55&lt;&gt;"x",$P55*SUMIFS($AF55:$DK55,$AF$4:$DK$4,Jahresscheiben!H$2),0)</f>
        <v>0</v>
      </c>
      <c r="EX55" s="62">
        <f>IF($A55&lt;&gt;"x",$P55*SUMIFS($AF55:$DK55,$AF$4:$DK$4,Jahresscheiben!I$2),0)</f>
        <v>0</v>
      </c>
      <c r="EY55" s="85"/>
      <c r="EZ55" s="61">
        <f t="shared" si="57"/>
        <v>50</v>
      </c>
      <c r="FA55" s="85">
        <f>IF($A55="x",$P55*SUMIFS($AF55:$DK55,$AF$4:$DK$4,Jahresscheiben!C$2)/2,0)</f>
        <v>0</v>
      </c>
      <c r="FB55" s="85">
        <f>IF($A55="x",$P55*SUMIFS($AF55:$DK55,$AF$4:$DK$4,Jahresscheiben!D$2)/2,0)</f>
        <v>0</v>
      </c>
      <c r="FC55" s="85">
        <f>IF($A55="x",$P55*SUMIFS($AF55:$DK55,$AF$4:$DK$4,Jahresscheiben!E$2)/2,0)</f>
        <v>0</v>
      </c>
      <c r="FD55" s="85">
        <f>IF($A55="x",$P55*SUMIFS($AF55:$DK55,$AF$4:$DK$4,Jahresscheiben!F$2)/2,0)</f>
        <v>0</v>
      </c>
      <c r="FE55" s="85">
        <f>IF($A55="x",$P55*SUMIFS($AF55:$DK55,$AF$4:$DK$4,Jahresscheiben!G$2)/2,0)</f>
        <v>0</v>
      </c>
      <c r="FF55" s="85">
        <f>IF($A55="x",$P55*SUMIFS($AF55:$DK55,$AF$4:$DK$4,Jahresscheiben!H$2)/2,0)</f>
        <v>0</v>
      </c>
      <c r="FG55" s="85">
        <f>IF($A55="x",$P55*SUMIFS($AF55:$DK55,$AF$4:$DK$4,Jahresscheiben!I$2)/2,0)</f>
        <v>0</v>
      </c>
      <c r="FH55" s="85"/>
      <c r="FI55" s="61">
        <f t="shared" si="58"/>
        <v>50</v>
      </c>
      <c r="FJ55" s="85" cm="1">
        <f t="array" ref="FJ5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55" s="85" cm="1">
        <f t="array" ref="FK5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55" s="85" cm="1">
        <f t="array" ref="FL5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55" s="85" cm="1">
        <f t="array" ref="FM5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55" s="85" cm="1">
        <f t="array" ref="FN5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55" s="85" cm="1">
        <f t="array" ref="FO5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55" s="85" cm="1">
        <f t="array" ref="FP5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56" spans="1:172" ht="17" hidden="1" customHeight="1" thickBot="1" x14ac:dyDescent="0.55000000000000004">
      <c r="A56" s="29" t="s">
        <v>24</v>
      </c>
      <c r="B56" s="31">
        <f t="shared" ref="B56:B57" si="102">LEN(D56)</f>
        <v>0</v>
      </c>
      <c r="C56" s="22">
        <f t="shared" si="51"/>
        <v>51</v>
      </c>
      <c r="D56" s="8"/>
      <c r="E56" s="7"/>
      <c r="F56" s="7"/>
      <c r="G56" s="7"/>
      <c r="H56" s="7"/>
      <c r="I56" s="6" t="str">
        <f t="shared" ref="I56:I57" si="103">IF(F56=0,"",EOMONTH(Project_Start,F56-1))</f>
        <v/>
      </c>
      <c r="J56" s="6" t="str">
        <f t="shared" ref="J56:J57" si="104">IF(G56=0,"",EOMONTH(Project_Start,G56-1))</f>
        <v/>
      </c>
      <c r="K56" s="7"/>
      <c r="L56" s="53">
        <v>1</v>
      </c>
      <c r="M56" s="60" cm="1">
        <f t="array" ref="M56" xml:space="preserve">
_xlfn.LET(
_xlpm.Z, _xlfn._xlws.FILTER($DY$6:$EE$65,$DX$6:$DX$65=C56),
_xlpm.Q,_xlfn._xlws.FILTER($DP$6:$DV$65,$DO$6:$DO$65=C56),
IF($A56="x",SUMPRODUCT(_xlpm.Z,$DY$73:$EE$73,EH56:EN56),SUMPRODUCT(_xlpm.Q,$DP$73:$DV$73)))</f>
        <v>0</v>
      </c>
      <c r="N56" s="54" t="str" cm="1">
        <f t="array" ref="N56" xml:space="preserve">
_xlfn.LET(
_xlpm.Z, SUM(IF($A56="x",_xlfn._xlws.FILTER($M$6:$M$65,$A$6:$A$65="x"),_xlfn._xlws.FILTER($M$6:$M$65,$A$6:$A$65&lt;&gt;"x"))),
IF(_xlpm.Z&lt;&gt;0,M56/_xlpm.Z,""))</f>
        <v/>
      </c>
      <c r="O56" s="7"/>
      <c r="P56" s="53">
        <f t="shared" ref="P56:P57" si="105">L56</f>
        <v>1</v>
      </c>
      <c r="Q56" s="60" cm="1">
        <f t="array" ref="Q56" xml:space="preserve">
_xlfn.LET(
_xlpm.Z, _xlfn._xlws.FILTER($FA$6:$FG$65,$EZ$6:$EZ$65=C56),
_xlpm.Q,_xlfn._xlws.FILTER($ER$6:$EX$65,$EQ$6:$EQ$65=C56),
IF($A56="x",SUMPRODUCT(_xlpm.Z,$FA$73:$FG$73,FJ56:FP56),SUMPRODUCT(_xlpm.Q,$ER$73:$EX$73)))</f>
        <v>0</v>
      </c>
      <c r="R56" s="54" t="str" cm="1">
        <f t="array" ref="R56" xml:space="preserve">
_xlfn.LET(
_xlpm.Z, SUM(IF($A56="x",_xlfn._xlws.FILTER($Q$6:$Q$65,$A$6:$A$65="x"),_xlfn._xlws.FILTER($Q$6:$Q$65,$A$6:$A$65&lt;&gt;"x"))),
IF(_xlpm.Z&lt;&gt;0,Q56/_xlpm.Z,""))</f>
        <v/>
      </c>
      <c r="S56" s="7"/>
      <c r="T56" s="6"/>
      <c r="U56" s="6"/>
      <c r="V56" s="6"/>
      <c r="W56" s="6"/>
      <c r="X56" s="6"/>
      <c r="Y56" s="6"/>
      <c r="Z56" s="6"/>
      <c r="AA56" s="6"/>
      <c r="AB56" s="6"/>
      <c r="AC56" s="6"/>
      <c r="AD56" s="7"/>
      <c r="AE56" s="7"/>
      <c r="AF56" s="23" t="str">
        <f t="shared" si="94"/>
        <v/>
      </c>
      <c r="AG56" s="23" t="str">
        <f t="shared" si="94"/>
        <v/>
      </c>
      <c r="AH56" s="23" t="str">
        <f t="shared" si="94"/>
        <v/>
      </c>
      <c r="AI56" s="23" t="str">
        <f t="shared" si="94"/>
        <v/>
      </c>
      <c r="AJ56" s="23" t="str">
        <f t="shared" si="94"/>
        <v/>
      </c>
      <c r="AK56" s="23" t="str">
        <f t="shared" si="94"/>
        <v/>
      </c>
      <c r="AL56" s="23" t="str">
        <f t="shared" si="94"/>
        <v/>
      </c>
      <c r="AM56" s="23" t="str">
        <f t="shared" si="94"/>
        <v/>
      </c>
      <c r="AN56" s="23" t="str">
        <f t="shared" si="94"/>
        <v/>
      </c>
      <c r="AO56" s="23" t="str">
        <f t="shared" si="94"/>
        <v/>
      </c>
      <c r="AP56" s="23" t="str">
        <f t="shared" si="95"/>
        <v/>
      </c>
      <c r="AQ56" s="23" t="str">
        <f t="shared" si="95"/>
        <v/>
      </c>
      <c r="AR56" s="23" t="str">
        <f t="shared" si="95"/>
        <v/>
      </c>
      <c r="AS56" s="23" t="str">
        <f t="shared" si="95"/>
        <v/>
      </c>
      <c r="AT56" s="23" t="str">
        <f t="shared" si="95"/>
        <v/>
      </c>
      <c r="AU56" s="23" t="str">
        <f t="shared" si="95"/>
        <v/>
      </c>
      <c r="AV56" s="23" t="str">
        <f t="shared" si="95"/>
        <v/>
      </c>
      <c r="AW56" s="23" t="str">
        <f t="shared" si="95"/>
        <v/>
      </c>
      <c r="AX56" s="23" t="str">
        <f t="shared" si="95"/>
        <v/>
      </c>
      <c r="AY56" s="23" t="str">
        <f t="shared" si="95"/>
        <v/>
      </c>
      <c r="AZ56" s="23" t="str">
        <f t="shared" si="96"/>
        <v/>
      </c>
      <c r="BA56" s="23" t="str">
        <f t="shared" si="96"/>
        <v/>
      </c>
      <c r="BB56" s="23" t="str">
        <f t="shared" si="96"/>
        <v/>
      </c>
      <c r="BC56" s="23" t="str">
        <f t="shared" si="96"/>
        <v/>
      </c>
      <c r="BD56" s="23" t="str">
        <f t="shared" si="96"/>
        <v/>
      </c>
      <c r="BE56" s="23" t="str">
        <f t="shared" si="96"/>
        <v/>
      </c>
      <c r="BF56" s="23" t="str">
        <f t="shared" si="96"/>
        <v/>
      </c>
      <c r="BG56" s="23" t="str">
        <f t="shared" si="96"/>
        <v/>
      </c>
      <c r="BH56" s="23" t="str">
        <f t="shared" si="96"/>
        <v/>
      </c>
      <c r="BI56" s="23" t="str">
        <f t="shared" si="96"/>
        <v/>
      </c>
      <c r="BJ56" s="23" t="str">
        <f t="shared" si="97"/>
        <v/>
      </c>
      <c r="BK56" s="23" t="str">
        <f t="shared" si="97"/>
        <v/>
      </c>
      <c r="BL56" s="23" t="str">
        <f t="shared" si="97"/>
        <v/>
      </c>
      <c r="BM56" s="23" t="str">
        <f t="shared" si="97"/>
        <v/>
      </c>
      <c r="BN56" s="23" t="str">
        <f t="shared" si="97"/>
        <v/>
      </c>
      <c r="BO56" s="23" t="str">
        <f t="shared" si="97"/>
        <v/>
      </c>
      <c r="BP56" s="23" t="str">
        <f t="shared" si="97"/>
        <v/>
      </c>
      <c r="BQ56" s="23" t="str">
        <f t="shared" si="97"/>
        <v/>
      </c>
      <c r="BR56" s="23" t="str">
        <f t="shared" si="97"/>
        <v/>
      </c>
      <c r="BS56" s="23" t="str">
        <f t="shared" si="97"/>
        <v/>
      </c>
      <c r="BT56" s="23" t="str">
        <f t="shared" si="98"/>
        <v/>
      </c>
      <c r="BU56" s="23" t="str">
        <f t="shared" si="98"/>
        <v/>
      </c>
      <c r="BV56" s="23" t="str">
        <f t="shared" si="98"/>
        <v/>
      </c>
      <c r="BW56" s="23" t="str">
        <f t="shared" si="98"/>
        <v/>
      </c>
      <c r="BX56" s="23" t="str">
        <f t="shared" si="98"/>
        <v/>
      </c>
      <c r="BY56" s="23" t="str">
        <f t="shared" si="98"/>
        <v/>
      </c>
      <c r="BZ56" s="23" t="str">
        <f t="shared" si="98"/>
        <v/>
      </c>
      <c r="CA56" s="23" t="str">
        <f t="shared" si="98"/>
        <v/>
      </c>
      <c r="CB56" s="23" t="str">
        <f t="shared" si="98"/>
        <v/>
      </c>
      <c r="CC56" s="23" t="str">
        <f t="shared" si="98"/>
        <v/>
      </c>
      <c r="CD56" s="23" t="str">
        <f t="shared" si="99"/>
        <v/>
      </c>
      <c r="CE56" s="23" t="str">
        <f t="shared" si="99"/>
        <v/>
      </c>
      <c r="CF56" s="23" t="str">
        <f t="shared" si="99"/>
        <v/>
      </c>
      <c r="CG56" s="23" t="str">
        <f t="shared" si="99"/>
        <v/>
      </c>
      <c r="CH56" s="23" t="str">
        <f t="shared" si="99"/>
        <v/>
      </c>
      <c r="CI56" s="23" t="str">
        <f t="shared" si="99"/>
        <v/>
      </c>
      <c r="CJ56" s="23" t="str">
        <f t="shared" si="99"/>
        <v/>
      </c>
      <c r="CK56" s="23" t="str">
        <f t="shared" si="99"/>
        <v/>
      </c>
      <c r="CL56" s="23" t="str">
        <f t="shared" si="99"/>
        <v/>
      </c>
      <c r="CM56" s="23" t="str">
        <f t="shared" si="99"/>
        <v/>
      </c>
      <c r="CN56" s="23" t="str">
        <f t="shared" si="100"/>
        <v/>
      </c>
      <c r="CO56" s="23" t="str">
        <f t="shared" si="100"/>
        <v/>
      </c>
      <c r="CP56" s="23" t="str">
        <f t="shared" si="100"/>
        <v/>
      </c>
      <c r="CQ56" s="23" t="str">
        <f t="shared" si="100"/>
        <v/>
      </c>
      <c r="CR56" s="23" t="str">
        <f t="shared" si="100"/>
        <v/>
      </c>
      <c r="CS56" s="23" t="str">
        <f t="shared" si="100"/>
        <v/>
      </c>
      <c r="CT56" s="23" t="str">
        <f t="shared" si="100"/>
        <v/>
      </c>
      <c r="CU56" s="23" t="str">
        <f t="shared" si="100"/>
        <v/>
      </c>
      <c r="CV56" s="23" t="str">
        <f t="shared" si="100"/>
        <v/>
      </c>
      <c r="CW56" s="23" t="str">
        <f t="shared" si="100"/>
        <v/>
      </c>
      <c r="CX56" s="23" t="str">
        <f t="shared" si="101"/>
        <v/>
      </c>
      <c r="CY56" s="23" t="str">
        <f t="shared" si="101"/>
        <v/>
      </c>
      <c r="CZ56" s="23" t="str">
        <f t="shared" si="101"/>
        <v/>
      </c>
      <c r="DA56" s="23" t="str">
        <f t="shared" si="101"/>
        <v/>
      </c>
      <c r="DB56" s="23" t="str">
        <f t="shared" si="101"/>
        <v/>
      </c>
      <c r="DC56" s="23" t="str">
        <f t="shared" si="101"/>
        <v/>
      </c>
      <c r="DD56" s="23" t="str">
        <f t="shared" si="101"/>
        <v/>
      </c>
      <c r="DE56" s="23" t="str">
        <f t="shared" si="101"/>
        <v/>
      </c>
      <c r="DF56" s="23" t="str">
        <f t="shared" si="101"/>
        <v/>
      </c>
      <c r="DG56" s="23" t="str">
        <f t="shared" si="101"/>
        <v/>
      </c>
      <c r="DH56" s="23" t="str">
        <f t="shared" si="101"/>
        <v/>
      </c>
      <c r="DI56" s="23" t="str">
        <f t="shared" si="101"/>
        <v/>
      </c>
      <c r="DJ56" s="23" t="str">
        <f t="shared" si="101"/>
        <v/>
      </c>
      <c r="DK56" s="23" t="str">
        <f t="shared" si="101"/>
        <v/>
      </c>
      <c r="DO56" s="61">
        <f t="shared" si="53"/>
        <v>51</v>
      </c>
      <c r="DP56" s="61">
        <f>IF($A56&lt;&gt;"x",$L56*SUMIFS($AF56:$DK56,$AF$4:$DK$4,Jahresscheiben!C$2),0)</f>
        <v>0</v>
      </c>
      <c r="DQ56" s="61">
        <f>IF($A56&lt;&gt;"x",$L56*SUMIFS($AF56:$DK56,$AF$4:$DK$4,Jahresscheiben!D$2),0)</f>
        <v>0</v>
      </c>
      <c r="DR56" s="61">
        <f>IF($A56&lt;&gt;"x",$L56*SUMIFS($AF56:$DK56,$AF$4:$DK$4,Jahresscheiben!E$2),0)</f>
        <v>0</v>
      </c>
      <c r="DS56" s="61">
        <f>IF($A56&lt;&gt;"x",$L56*SUMIFS($AF56:$DK56,$AF$4:$DK$4,Jahresscheiben!F$2),0)</f>
        <v>0</v>
      </c>
      <c r="DT56" s="61">
        <f>IF($A56&lt;&gt;"x",$L56*SUMIFS($AF56:$DK56,$AF$4:$DK$4,Jahresscheiben!G$2),0)</f>
        <v>0</v>
      </c>
      <c r="DU56" s="61">
        <f>IF($A56&lt;&gt;"x",$L56*SUMIFS($AF56:$DK56,$AF$4:$DK$4,Jahresscheiben!H$2),0)</f>
        <v>0</v>
      </c>
      <c r="DV56" s="61">
        <f>IF($A56&lt;&gt;"x",$L56*SUMIFS($AF56:$DK56,$AF$4:$DK$4,Jahresscheiben!I$2),0)</f>
        <v>0</v>
      </c>
      <c r="DW56" s="85"/>
      <c r="DX56" s="61">
        <f t="shared" si="54"/>
        <v>51</v>
      </c>
      <c r="DY56" s="85">
        <f>IF($A56="x",$L56*SUMIFS($AF56:$DK56,$AF$4:$DK$4,Jahresscheiben!C$2)/2,0)</f>
        <v>0</v>
      </c>
      <c r="DZ56" s="85">
        <f>IF($A56="x",$L56*SUMIFS($AF56:$DK56,$AF$4:$DK$4,Jahresscheiben!D$2)/2,0)</f>
        <v>0</v>
      </c>
      <c r="EA56" s="85">
        <f>IF($A56="x",$L56*SUMIFS($AF56:$DK56,$AF$4:$DK$4,Jahresscheiben!E$2)/2,0)</f>
        <v>0</v>
      </c>
      <c r="EB56" s="85">
        <f>IF($A56="x",$L56*SUMIFS($AF56:$DK56,$AF$4:$DK$4,Jahresscheiben!F$2)/2,0)</f>
        <v>0</v>
      </c>
      <c r="EC56" s="85">
        <f>IF($A56="x",$L56*SUMIFS($AF56:$DK56,$AF$4:$DK$4,Jahresscheiben!G$2)/2,0)</f>
        <v>0</v>
      </c>
      <c r="ED56" s="85">
        <f>IF($A56="x",$L56*SUMIFS($AF56:$DK56,$AF$4:$DK$4,Jahresscheiben!H$2)/2,0)</f>
        <v>0</v>
      </c>
      <c r="EE56" s="85">
        <f>IF($A56="x",$L56*SUMIFS($AF56:$DK56,$AF$4:$DK$4,Jahresscheiben!I$2)/2,0)</f>
        <v>0</v>
      </c>
      <c r="EF56" s="85"/>
      <c r="EG56" s="61">
        <f t="shared" si="55"/>
        <v>51</v>
      </c>
      <c r="EH56" s="85" cm="1">
        <f t="array" ref="EH5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56" s="85" cm="1">
        <f t="array" ref="EI5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56" s="85" cm="1">
        <f t="array" ref="EJ5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56" s="85" cm="1">
        <f t="array" ref="EK5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56" s="85" cm="1">
        <f t="array" ref="EL5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56" s="85" cm="1">
        <f t="array" ref="EM5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56" s="85" cm="1">
        <f t="array" ref="EN5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56" s="85"/>
      <c r="EQ56" s="61">
        <f t="shared" si="56"/>
        <v>51</v>
      </c>
      <c r="ER56" s="62">
        <f>IF($A56&lt;&gt;"x",$P56*SUMIFS($AF56:$DK56,$AF$4:$DK$4,Jahresscheiben!C$2),0)</f>
        <v>0</v>
      </c>
      <c r="ES56" s="62">
        <f>IF($A56&lt;&gt;"x",$P56*SUMIFS($AF56:$DK56,$AF$4:$DK$4,Jahresscheiben!D$2),0)</f>
        <v>0</v>
      </c>
      <c r="ET56" s="62">
        <f>IF($A56&lt;&gt;"x",$P56*SUMIFS($AF56:$DK56,$AF$4:$DK$4,Jahresscheiben!E$2),0)</f>
        <v>0</v>
      </c>
      <c r="EU56" s="62">
        <f>IF($A56&lt;&gt;"x",$P56*SUMIFS($AF56:$DK56,$AF$4:$DK$4,Jahresscheiben!F$2),0)</f>
        <v>0</v>
      </c>
      <c r="EV56" s="62">
        <f>IF($A56&lt;&gt;"x",$P56*SUMIFS($AF56:$DK56,$AF$4:$DK$4,Jahresscheiben!G$2),0)</f>
        <v>0</v>
      </c>
      <c r="EW56" s="62">
        <f>IF($A56&lt;&gt;"x",$P56*SUMIFS($AF56:$DK56,$AF$4:$DK$4,Jahresscheiben!H$2),0)</f>
        <v>0</v>
      </c>
      <c r="EX56" s="62">
        <f>IF($A56&lt;&gt;"x",$P56*SUMIFS($AF56:$DK56,$AF$4:$DK$4,Jahresscheiben!I$2),0)</f>
        <v>0</v>
      </c>
      <c r="EY56" s="85"/>
      <c r="EZ56" s="61">
        <f t="shared" si="57"/>
        <v>51</v>
      </c>
      <c r="FA56" s="85">
        <f>IF($A56="x",$P56*SUMIFS($AF56:$DK56,$AF$4:$DK$4,Jahresscheiben!C$2)/2,0)</f>
        <v>0</v>
      </c>
      <c r="FB56" s="85">
        <f>IF($A56="x",$P56*SUMIFS($AF56:$DK56,$AF$4:$DK$4,Jahresscheiben!D$2)/2,0)</f>
        <v>0</v>
      </c>
      <c r="FC56" s="85">
        <f>IF($A56="x",$P56*SUMIFS($AF56:$DK56,$AF$4:$DK$4,Jahresscheiben!E$2)/2,0)</f>
        <v>0</v>
      </c>
      <c r="FD56" s="85">
        <f>IF($A56="x",$P56*SUMIFS($AF56:$DK56,$AF$4:$DK$4,Jahresscheiben!F$2)/2,0)</f>
        <v>0</v>
      </c>
      <c r="FE56" s="85">
        <f>IF($A56="x",$P56*SUMIFS($AF56:$DK56,$AF$4:$DK$4,Jahresscheiben!G$2)/2,0)</f>
        <v>0</v>
      </c>
      <c r="FF56" s="85">
        <f>IF($A56="x",$P56*SUMIFS($AF56:$DK56,$AF$4:$DK$4,Jahresscheiben!H$2)/2,0)</f>
        <v>0</v>
      </c>
      <c r="FG56" s="85">
        <f>IF($A56="x",$P56*SUMIFS($AF56:$DK56,$AF$4:$DK$4,Jahresscheiben!I$2)/2,0)</f>
        <v>0</v>
      </c>
      <c r="FH56" s="85"/>
      <c r="FI56" s="61">
        <f t="shared" si="58"/>
        <v>51</v>
      </c>
      <c r="FJ56" s="85" cm="1">
        <f t="array" ref="FJ5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56" s="85" cm="1">
        <f t="array" ref="FK5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56" s="85" cm="1">
        <f t="array" ref="FL5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56" s="85" cm="1">
        <f t="array" ref="FM5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56" s="85" cm="1">
        <f t="array" ref="FN5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56" s="85" cm="1">
        <f t="array" ref="FO5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56" s="85" cm="1">
        <f t="array" ref="FP56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57" spans="1:172" ht="17" hidden="1" customHeight="1" thickBot="1" x14ac:dyDescent="0.55000000000000004">
      <c r="A57" s="30" t="s">
        <v>24</v>
      </c>
      <c r="B57" s="31">
        <f t="shared" si="102"/>
        <v>0</v>
      </c>
      <c r="C57" s="22">
        <f t="shared" si="51"/>
        <v>52</v>
      </c>
      <c r="D57" s="25"/>
      <c r="E57" s="26"/>
      <c r="F57" s="26"/>
      <c r="G57" s="26"/>
      <c r="H57" s="26"/>
      <c r="I57" s="6" t="str">
        <f t="shared" si="103"/>
        <v/>
      </c>
      <c r="J57" s="6" t="str">
        <f t="shared" si="104"/>
        <v/>
      </c>
      <c r="K57" s="26"/>
      <c r="L57" s="53">
        <v>1</v>
      </c>
      <c r="M57" s="60" cm="1">
        <f t="array" ref="M57" xml:space="preserve">
_xlfn.LET(
_xlpm.Z, _xlfn._xlws.FILTER($DY$6:$EE$65,$DX$6:$DX$65=C57),
_xlpm.Q,_xlfn._xlws.FILTER($DP$6:$DV$65,$DO$6:$DO$65=C57),
IF($A57="x",SUMPRODUCT(_xlpm.Z,$DY$73:$EE$73,EH57:EN57),SUMPRODUCT(_xlpm.Q,$DP$73:$DV$73)))</f>
        <v>0</v>
      </c>
      <c r="N57" s="54" t="str" cm="1">
        <f t="array" ref="N57" xml:space="preserve">
_xlfn.LET(
_xlpm.Z, SUM(IF($A57="x",_xlfn._xlws.FILTER($M$6:$M$65,$A$6:$A$65="x"),_xlfn._xlws.FILTER($M$6:$M$65,$A$6:$A$65&lt;&gt;"x"))),
IF(_xlpm.Z&lt;&gt;0,M57/_xlpm.Z,""))</f>
        <v/>
      </c>
      <c r="O57" s="26"/>
      <c r="P57" s="53">
        <f t="shared" si="105"/>
        <v>1</v>
      </c>
      <c r="Q57" s="60" cm="1">
        <f t="array" ref="Q57" xml:space="preserve">
_xlfn.LET(
_xlpm.Z, _xlfn._xlws.FILTER($FA$6:$FG$65,$EZ$6:$EZ$65=C57),
_xlpm.Q,_xlfn._xlws.FILTER($ER$6:$EX$65,$EQ$6:$EQ$65=C57),
IF($A57="x",SUMPRODUCT(_xlpm.Z,$FA$73:$FG$73,FJ57:FP57),SUMPRODUCT(_xlpm.Q,$ER$73:$EX$73)))</f>
        <v>0</v>
      </c>
      <c r="R57" s="54" t="str" cm="1">
        <f t="array" ref="R57" xml:space="preserve">
_xlfn.LET(
_xlpm.Z, SUM(IF($A57="x",_xlfn._xlws.FILTER($Q$6:$Q$65,$A$6:$A$65="x"),_xlfn._xlws.FILTER($Q$6:$Q$65,$A$6:$A$65&lt;&gt;"x"))),
IF(_xlpm.Z&lt;&gt;0,Q57/_xlpm.Z,""))</f>
        <v/>
      </c>
      <c r="S57" s="26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8"/>
      <c r="AE57" s="28"/>
      <c r="AF57" s="23" t="str">
        <f t="shared" si="94"/>
        <v/>
      </c>
      <c r="AG57" s="23" t="str">
        <f t="shared" si="94"/>
        <v/>
      </c>
      <c r="AH57" s="23" t="str">
        <f t="shared" si="94"/>
        <v/>
      </c>
      <c r="AI57" s="23" t="str">
        <f t="shared" si="94"/>
        <v/>
      </c>
      <c r="AJ57" s="23" t="str">
        <f t="shared" si="94"/>
        <v/>
      </c>
      <c r="AK57" s="23" t="str">
        <f t="shared" si="94"/>
        <v/>
      </c>
      <c r="AL57" s="23" t="str">
        <f t="shared" si="94"/>
        <v/>
      </c>
      <c r="AM57" s="23" t="str">
        <f t="shared" si="94"/>
        <v/>
      </c>
      <c r="AN57" s="23" t="str">
        <f t="shared" si="94"/>
        <v/>
      </c>
      <c r="AO57" s="23" t="str">
        <f t="shared" si="94"/>
        <v/>
      </c>
      <c r="AP57" s="23" t="str">
        <f t="shared" si="95"/>
        <v/>
      </c>
      <c r="AQ57" s="23" t="str">
        <f t="shared" si="95"/>
        <v/>
      </c>
      <c r="AR57" s="23" t="str">
        <f t="shared" si="95"/>
        <v/>
      </c>
      <c r="AS57" s="23" t="str">
        <f t="shared" si="95"/>
        <v/>
      </c>
      <c r="AT57" s="23" t="str">
        <f t="shared" si="95"/>
        <v/>
      </c>
      <c r="AU57" s="23" t="str">
        <f t="shared" si="95"/>
        <v/>
      </c>
      <c r="AV57" s="23" t="str">
        <f t="shared" si="95"/>
        <v/>
      </c>
      <c r="AW57" s="23" t="str">
        <f t="shared" si="95"/>
        <v/>
      </c>
      <c r="AX57" s="23" t="str">
        <f t="shared" si="95"/>
        <v/>
      </c>
      <c r="AY57" s="23" t="str">
        <f t="shared" si="95"/>
        <v/>
      </c>
      <c r="AZ57" s="23" t="str">
        <f t="shared" si="96"/>
        <v/>
      </c>
      <c r="BA57" s="23" t="str">
        <f t="shared" si="96"/>
        <v/>
      </c>
      <c r="BB57" s="23" t="str">
        <f t="shared" si="96"/>
        <v/>
      </c>
      <c r="BC57" s="23" t="str">
        <f t="shared" si="96"/>
        <v/>
      </c>
      <c r="BD57" s="23" t="str">
        <f t="shared" si="96"/>
        <v/>
      </c>
      <c r="BE57" s="23" t="str">
        <f t="shared" si="96"/>
        <v/>
      </c>
      <c r="BF57" s="23" t="str">
        <f t="shared" si="96"/>
        <v/>
      </c>
      <c r="BG57" s="23" t="str">
        <f t="shared" si="96"/>
        <v/>
      </c>
      <c r="BH57" s="23" t="str">
        <f t="shared" si="96"/>
        <v/>
      </c>
      <c r="BI57" s="23" t="str">
        <f t="shared" si="96"/>
        <v/>
      </c>
      <c r="BJ57" s="23" t="str">
        <f t="shared" si="97"/>
        <v/>
      </c>
      <c r="BK57" s="23" t="str">
        <f t="shared" si="97"/>
        <v/>
      </c>
      <c r="BL57" s="23" t="str">
        <f t="shared" si="97"/>
        <v/>
      </c>
      <c r="BM57" s="23" t="str">
        <f t="shared" si="97"/>
        <v/>
      </c>
      <c r="BN57" s="23" t="str">
        <f t="shared" si="97"/>
        <v/>
      </c>
      <c r="BO57" s="23" t="str">
        <f t="shared" si="97"/>
        <v/>
      </c>
      <c r="BP57" s="23" t="str">
        <f t="shared" si="97"/>
        <v/>
      </c>
      <c r="BQ57" s="23" t="str">
        <f t="shared" si="97"/>
        <v/>
      </c>
      <c r="BR57" s="23" t="str">
        <f t="shared" si="97"/>
        <v/>
      </c>
      <c r="BS57" s="23" t="str">
        <f t="shared" si="97"/>
        <v/>
      </c>
      <c r="BT57" s="23" t="str">
        <f t="shared" si="98"/>
        <v/>
      </c>
      <c r="BU57" s="23" t="str">
        <f t="shared" si="98"/>
        <v/>
      </c>
      <c r="BV57" s="23" t="str">
        <f t="shared" si="98"/>
        <v/>
      </c>
      <c r="BW57" s="23" t="str">
        <f t="shared" si="98"/>
        <v/>
      </c>
      <c r="BX57" s="23" t="str">
        <f t="shared" si="98"/>
        <v/>
      </c>
      <c r="BY57" s="23" t="str">
        <f t="shared" si="98"/>
        <v/>
      </c>
      <c r="BZ57" s="23" t="str">
        <f t="shared" si="98"/>
        <v/>
      </c>
      <c r="CA57" s="23" t="str">
        <f t="shared" si="98"/>
        <v/>
      </c>
      <c r="CB57" s="23" t="str">
        <f t="shared" si="98"/>
        <v/>
      </c>
      <c r="CC57" s="23" t="str">
        <f t="shared" si="98"/>
        <v/>
      </c>
      <c r="CD57" s="23" t="str">
        <f t="shared" si="99"/>
        <v/>
      </c>
      <c r="CE57" s="23" t="str">
        <f t="shared" si="99"/>
        <v/>
      </c>
      <c r="CF57" s="23" t="str">
        <f t="shared" si="99"/>
        <v/>
      </c>
      <c r="CG57" s="23" t="str">
        <f t="shared" si="99"/>
        <v/>
      </c>
      <c r="CH57" s="23" t="str">
        <f t="shared" si="99"/>
        <v/>
      </c>
      <c r="CI57" s="23" t="str">
        <f t="shared" si="99"/>
        <v/>
      </c>
      <c r="CJ57" s="23" t="str">
        <f t="shared" si="99"/>
        <v/>
      </c>
      <c r="CK57" s="23" t="str">
        <f t="shared" si="99"/>
        <v/>
      </c>
      <c r="CL57" s="23" t="str">
        <f t="shared" si="99"/>
        <v/>
      </c>
      <c r="CM57" s="23" t="str">
        <f t="shared" si="99"/>
        <v/>
      </c>
      <c r="CN57" s="23" t="str">
        <f t="shared" si="100"/>
        <v/>
      </c>
      <c r="CO57" s="23" t="str">
        <f t="shared" si="100"/>
        <v/>
      </c>
      <c r="CP57" s="23" t="str">
        <f t="shared" si="100"/>
        <v/>
      </c>
      <c r="CQ57" s="23" t="str">
        <f t="shared" si="100"/>
        <v/>
      </c>
      <c r="CR57" s="23" t="str">
        <f t="shared" si="100"/>
        <v/>
      </c>
      <c r="CS57" s="23" t="str">
        <f t="shared" si="100"/>
        <v/>
      </c>
      <c r="CT57" s="23" t="str">
        <f t="shared" si="100"/>
        <v/>
      </c>
      <c r="CU57" s="23" t="str">
        <f t="shared" si="100"/>
        <v/>
      </c>
      <c r="CV57" s="23" t="str">
        <f t="shared" si="100"/>
        <v/>
      </c>
      <c r="CW57" s="23" t="str">
        <f t="shared" si="100"/>
        <v/>
      </c>
      <c r="CX57" s="23" t="str">
        <f t="shared" si="101"/>
        <v/>
      </c>
      <c r="CY57" s="23" t="str">
        <f t="shared" si="101"/>
        <v/>
      </c>
      <c r="CZ57" s="23" t="str">
        <f t="shared" si="101"/>
        <v/>
      </c>
      <c r="DA57" s="23" t="str">
        <f t="shared" si="101"/>
        <v/>
      </c>
      <c r="DB57" s="23" t="str">
        <f t="shared" si="101"/>
        <v/>
      </c>
      <c r="DC57" s="23" t="str">
        <f t="shared" si="101"/>
        <v/>
      </c>
      <c r="DD57" s="23" t="str">
        <f t="shared" si="101"/>
        <v/>
      </c>
      <c r="DE57" s="23" t="str">
        <f t="shared" si="101"/>
        <v/>
      </c>
      <c r="DF57" s="23" t="str">
        <f t="shared" si="101"/>
        <v/>
      </c>
      <c r="DG57" s="23" t="str">
        <f t="shared" si="101"/>
        <v/>
      </c>
      <c r="DH57" s="23" t="str">
        <f t="shared" si="101"/>
        <v/>
      </c>
      <c r="DI57" s="23" t="str">
        <f t="shared" si="101"/>
        <v/>
      </c>
      <c r="DJ57" s="23" t="str">
        <f t="shared" si="101"/>
        <v/>
      </c>
      <c r="DK57" s="23" t="str">
        <f t="shared" si="101"/>
        <v/>
      </c>
      <c r="DO57" s="61">
        <f t="shared" si="53"/>
        <v>52</v>
      </c>
      <c r="DP57" s="61">
        <f>IF($A57&lt;&gt;"x",$L57*SUMIFS($AF57:$DK57,$AF$4:$DK$4,Jahresscheiben!C$2),0)</f>
        <v>0</v>
      </c>
      <c r="DQ57" s="61">
        <f>IF($A57&lt;&gt;"x",$L57*SUMIFS($AF57:$DK57,$AF$4:$DK$4,Jahresscheiben!D$2),0)</f>
        <v>0</v>
      </c>
      <c r="DR57" s="61">
        <f>IF($A57&lt;&gt;"x",$L57*SUMIFS($AF57:$DK57,$AF$4:$DK$4,Jahresscheiben!E$2),0)</f>
        <v>0</v>
      </c>
      <c r="DS57" s="61">
        <f>IF($A57&lt;&gt;"x",$L57*SUMIFS($AF57:$DK57,$AF$4:$DK$4,Jahresscheiben!F$2),0)</f>
        <v>0</v>
      </c>
      <c r="DT57" s="61">
        <f>IF($A57&lt;&gt;"x",$L57*SUMIFS($AF57:$DK57,$AF$4:$DK$4,Jahresscheiben!G$2),0)</f>
        <v>0</v>
      </c>
      <c r="DU57" s="61">
        <f>IF($A57&lt;&gt;"x",$L57*SUMIFS($AF57:$DK57,$AF$4:$DK$4,Jahresscheiben!H$2),0)</f>
        <v>0</v>
      </c>
      <c r="DV57" s="61">
        <f>IF($A57&lt;&gt;"x",$L57*SUMIFS($AF57:$DK57,$AF$4:$DK$4,Jahresscheiben!I$2),0)</f>
        <v>0</v>
      </c>
      <c r="DW57" s="85"/>
      <c r="DX57" s="61">
        <f t="shared" si="54"/>
        <v>52</v>
      </c>
      <c r="DY57" s="85">
        <f>IF($A57="x",$L57*SUMIFS($AF57:$DK57,$AF$4:$DK$4,Jahresscheiben!C$2)/2,0)</f>
        <v>0</v>
      </c>
      <c r="DZ57" s="85">
        <f>IF($A57="x",$L57*SUMIFS($AF57:$DK57,$AF$4:$DK$4,Jahresscheiben!D$2)/2,0)</f>
        <v>0</v>
      </c>
      <c r="EA57" s="85">
        <f>IF($A57="x",$L57*SUMIFS($AF57:$DK57,$AF$4:$DK$4,Jahresscheiben!E$2)/2,0)</f>
        <v>0</v>
      </c>
      <c r="EB57" s="85">
        <f>IF($A57="x",$L57*SUMIFS($AF57:$DK57,$AF$4:$DK$4,Jahresscheiben!F$2)/2,0)</f>
        <v>0</v>
      </c>
      <c r="EC57" s="85">
        <f>IF($A57="x",$L57*SUMIFS($AF57:$DK57,$AF$4:$DK$4,Jahresscheiben!G$2)/2,0)</f>
        <v>0</v>
      </c>
      <c r="ED57" s="85">
        <f>IF($A57="x",$L57*SUMIFS($AF57:$DK57,$AF$4:$DK$4,Jahresscheiben!H$2)/2,0)</f>
        <v>0</v>
      </c>
      <c r="EE57" s="85">
        <f>IF($A57="x",$L57*SUMIFS($AF57:$DK57,$AF$4:$DK$4,Jahresscheiben!I$2)/2,0)</f>
        <v>0</v>
      </c>
      <c r="EF57" s="85"/>
      <c r="EG57" s="61">
        <f t="shared" si="55"/>
        <v>52</v>
      </c>
      <c r="EH57" s="85" cm="1">
        <f t="array" ref="EH5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57" s="85" cm="1">
        <f t="array" ref="EI5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57" s="85" cm="1">
        <f t="array" ref="EJ5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57" s="85" cm="1">
        <f t="array" ref="EK5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57" s="85" cm="1">
        <f t="array" ref="EL5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57" s="85" cm="1">
        <f t="array" ref="EM5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57" s="85" cm="1">
        <f t="array" ref="EN5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57" s="85"/>
      <c r="EQ57" s="61">
        <f t="shared" si="56"/>
        <v>52</v>
      </c>
      <c r="ER57" s="62">
        <f>IF($A57&lt;&gt;"x",$P57*SUMIFS($AF57:$DK57,$AF$4:$DK$4,Jahresscheiben!C$2),0)</f>
        <v>0</v>
      </c>
      <c r="ES57" s="62">
        <f>IF($A57&lt;&gt;"x",$P57*SUMIFS($AF57:$DK57,$AF$4:$DK$4,Jahresscheiben!D$2),0)</f>
        <v>0</v>
      </c>
      <c r="ET57" s="62">
        <f>IF($A57&lt;&gt;"x",$P57*SUMIFS($AF57:$DK57,$AF$4:$DK$4,Jahresscheiben!E$2),0)</f>
        <v>0</v>
      </c>
      <c r="EU57" s="62">
        <f>IF($A57&lt;&gt;"x",$P57*SUMIFS($AF57:$DK57,$AF$4:$DK$4,Jahresscheiben!F$2),0)</f>
        <v>0</v>
      </c>
      <c r="EV57" s="62">
        <f>IF($A57&lt;&gt;"x",$P57*SUMIFS($AF57:$DK57,$AF$4:$DK$4,Jahresscheiben!G$2),0)</f>
        <v>0</v>
      </c>
      <c r="EW57" s="62">
        <f>IF($A57&lt;&gt;"x",$P57*SUMIFS($AF57:$DK57,$AF$4:$DK$4,Jahresscheiben!H$2),0)</f>
        <v>0</v>
      </c>
      <c r="EX57" s="62">
        <f>IF($A57&lt;&gt;"x",$P57*SUMIFS($AF57:$DK57,$AF$4:$DK$4,Jahresscheiben!I$2),0)</f>
        <v>0</v>
      </c>
      <c r="EY57" s="85"/>
      <c r="EZ57" s="61">
        <f t="shared" si="57"/>
        <v>52</v>
      </c>
      <c r="FA57" s="85">
        <f>IF($A57="x",$P57*SUMIFS($AF57:$DK57,$AF$4:$DK$4,Jahresscheiben!C$2)/2,0)</f>
        <v>0</v>
      </c>
      <c r="FB57" s="85">
        <f>IF($A57="x",$P57*SUMIFS($AF57:$DK57,$AF$4:$DK$4,Jahresscheiben!D$2)/2,0)</f>
        <v>0</v>
      </c>
      <c r="FC57" s="85">
        <f>IF($A57="x",$P57*SUMIFS($AF57:$DK57,$AF$4:$DK$4,Jahresscheiben!E$2)/2,0)</f>
        <v>0</v>
      </c>
      <c r="FD57" s="85">
        <f>IF($A57="x",$P57*SUMIFS($AF57:$DK57,$AF$4:$DK$4,Jahresscheiben!F$2)/2,0)</f>
        <v>0</v>
      </c>
      <c r="FE57" s="85">
        <f>IF($A57="x",$P57*SUMIFS($AF57:$DK57,$AF$4:$DK$4,Jahresscheiben!G$2)/2,0)</f>
        <v>0</v>
      </c>
      <c r="FF57" s="85">
        <f>IF($A57="x",$P57*SUMIFS($AF57:$DK57,$AF$4:$DK$4,Jahresscheiben!H$2)/2,0)</f>
        <v>0</v>
      </c>
      <c r="FG57" s="85">
        <f>IF($A57="x",$P57*SUMIFS($AF57:$DK57,$AF$4:$DK$4,Jahresscheiben!I$2)/2,0)</f>
        <v>0</v>
      </c>
      <c r="FH57" s="85"/>
      <c r="FI57" s="61">
        <f t="shared" si="58"/>
        <v>52</v>
      </c>
      <c r="FJ57" s="85" cm="1">
        <f t="array" ref="FJ5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57" s="85" cm="1">
        <f t="array" ref="FK5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57" s="85" cm="1">
        <f t="array" ref="FL5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57" s="85" cm="1">
        <f t="array" ref="FM5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57" s="85" cm="1">
        <f t="array" ref="FN5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57" s="85" cm="1">
        <f t="array" ref="FO5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57" s="85" cm="1">
        <f t="array" ref="FP57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58" spans="1:172" ht="17" hidden="1" customHeight="1" thickBot="1" x14ac:dyDescent="0.55000000000000004">
      <c r="A58" s="29" t="s">
        <v>24</v>
      </c>
      <c r="B58" s="31">
        <f t="shared" si="50"/>
        <v>0</v>
      </c>
      <c r="C58" s="22">
        <f t="shared" si="51"/>
        <v>53</v>
      </c>
      <c r="D58" s="8"/>
      <c r="E58" s="7"/>
      <c r="F58" s="7"/>
      <c r="G58" s="7"/>
      <c r="H58" s="7"/>
      <c r="I58" s="6" t="str">
        <f t="shared" si="40"/>
        <v/>
      </c>
      <c r="J58" s="6" t="str">
        <f t="shared" si="41"/>
        <v/>
      </c>
      <c r="K58" s="7"/>
      <c r="L58" s="53">
        <v>1</v>
      </c>
      <c r="M58" s="60" cm="1">
        <f t="array" ref="M58" xml:space="preserve">
_xlfn.LET(
_xlpm.Z, _xlfn._xlws.FILTER($DY$6:$EE$65,$DX$6:$DX$65=C58),
_xlpm.Q,_xlfn._xlws.FILTER($DP$6:$DV$65,$DO$6:$DO$65=C58),
IF($A58="x",SUMPRODUCT(_xlpm.Z,$DY$73:$EE$73,EH58:EN58),SUMPRODUCT(_xlpm.Q,$DP$73:$DV$73)))</f>
        <v>0</v>
      </c>
      <c r="N58" s="54" t="str" cm="1">
        <f t="array" ref="N58" xml:space="preserve">
_xlfn.LET(
_xlpm.Z, SUM(IF($A58="x",_xlfn._xlws.FILTER($M$6:$M$65,$A$6:$A$65="x"),_xlfn._xlws.FILTER($M$6:$M$65,$A$6:$A$65&lt;&gt;"x"))),
IF(_xlpm.Z&lt;&gt;0,M58/_xlpm.Z,""))</f>
        <v/>
      </c>
      <c r="O58" s="7"/>
      <c r="P58" s="53">
        <f t="shared" si="52"/>
        <v>1</v>
      </c>
      <c r="Q58" s="60" cm="1">
        <f t="array" ref="Q58" xml:space="preserve">
_xlfn.LET(
_xlpm.Z, _xlfn._xlws.FILTER($FA$6:$FG$65,$EZ$6:$EZ$65=C58),
_xlpm.Q,_xlfn._xlws.FILTER($ER$6:$EX$65,$EQ$6:$EQ$65=C58),
IF($A58="x",SUMPRODUCT(_xlpm.Z,$FA$73:$FG$73,FJ58:FP58),SUMPRODUCT(_xlpm.Q,$ER$73:$EX$73)))</f>
        <v>0</v>
      </c>
      <c r="R58" s="54" t="str" cm="1">
        <f t="array" ref="R58" xml:space="preserve">
_xlfn.LET(
_xlpm.Z, SUM(IF($A58="x",_xlfn._xlws.FILTER($Q$6:$Q$65,$A$6:$A$65="x"),_xlfn._xlws.FILTER($Q$6:$Q$65,$A$6:$A$65&lt;&gt;"x"))),
IF(_xlpm.Z&lt;&gt;0,Q58/_xlpm.Z,""))</f>
        <v/>
      </c>
      <c r="S58" s="7"/>
      <c r="T58" s="6"/>
      <c r="U58" s="6"/>
      <c r="V58" s="6"/>
      <c r="W58" s="6"/>
      <c r="X58" s="6"/>
      <c r="Y58" s="6"/>
      <c r="Z58" s="6"/>
      <c r="AA58" s="6"/>
      <c r="AB58" s="6"/>
      <c r="AC58" s="6"/>
      <c r="AD58" s="7"/>
      <c r="AE58" s="7"/>
      <c r="AF58" s="23" t="str">
        <f t="shared" si="94"/>
        <v/>
      </c>
      <c r="AG58" s="23" t="str">
        <f t="shared" si="94"/>
        <v/>
      </c>
      <c r="AH58" s="23" t="str">
        <f t="shared" si="94"/>
        <v/>
      </c>
      <c r="AI58" s="23" t="str">
        <f t="shared" si="94"/>
        <v/>
      </c>
      <c r="AJ58" s="23" t="str">
        <f t="shared" si="94"/>
        <v/>
      </c>
      <c r="AK58" s="23" t="str">
        <f t="shared" si="94"/>
        <v/>
      </c>
      <c r="AL58" s="23" t="str">
        <f t="shared" si="94"/>
        <v/>
      </c>
      <c r="AM58" s="23" t="str">
        <f t="shared" si="94"/>
        <v/>
      </c>
      <c r="AN58" s="23" t="str">
        <f t="shared" si="94"/>
        <v/>
      </c>
      <c r="AO58" s="23" t="str">
        <f t="shared" si="94"/>
        <v/>
      </c>
      <c r="AP58" s="23" t="str">
        <f t="shared" si="95"/>
        <v/>
      </c>
      <c r="AQ58" s="23" t="str">
        <f t="shared" si="95"/>
        <v/>
      </c>
      <c r="AR58" s="23" t="str">
        <f t="shared" si="95"/>
        <v/>
      </c>
      <c r="AS58" s="23" t="str">
        <f t="shared" si="95"/>
        <v/>
      </c>
      <c r="AT58" s="23" t="str">
        <f t="shared" si="95"/>
        <v/>
      </c>
      <c r="AU58" s="23" t="str">
        <f t="shared" si="95"/>
        <v/>
      </c>
      <c r="AV58" s="23" t="str">
        <f t="shared" si="95"/>
        <v/>
      </c>
      <c r="AW58" s="23" t="str">
        <f t="shared" si="95"/>
        <v/>
      </c>
      <c r="AX58" s="23" t="str">
        <f t="shared" si="95"/>
        <v/>
      </c>
      <c r="AY58" s="23" t="str">
        <f t="shared" si="95"/>
        <v/>
      </c>
      <c r="AZ58" s="23" t="str">
        <f t="shared" si="96"/>
        <v/>
      </c>
      <c r="BA58" s="23" t="str">
        <f t="shared" si="96"/>
        <v/>
      </c>
      <c r="BB58" s="23" t="str">
        <f t="shared" si="96"/>
        <v/>
      </c>
      <c r="BC58" s="23" t="str">
        <f t="shared" si="96"/>
        <v/>
      </c>
      <c r="BD58" s="23" t="str">
        <f t="shared" si="96"/>
        <v/>
      </c>
      <c r="BE58" s="23" t="str">
        <f t="shared" si="96"/>
        <v/>
      </c>
      <c r="BF58" s="23" t="str">
        <f t="shared" si="96"/>
        <v/>
      </c>
      <c r="BG58" s="23" t="str">
        <f t="shared" si="96"/>
        <v/>
      </c>
      <c r="BH58" s="23" t="str">
        <f t="shared" si="96"/>
        <v/>
      </c>
      <c r="BI58" s="23" t="str">
        <f t="shared" si="96"/>
        <v/>
      </c>
      <c r="BJ58" s="23" t="str">
        <f t="shared" si="97"/>
        <v/>
      </c>
      <c r="BK58" s="23" t="str">
        <f t="shared" si="97"/>
        <v/>
      </c>
      <c r="BL58" s="23" t="str">
        <f t="shared" si="97"/>
        <v/>
      </c>
      <c r="BM58" s="23" t="str">
        <f t="shared" si="97"/>
        <v/>
      </c>
      <c r="BN58" s="23" t="str">
        <f t="shared" si="97"/>
        <v/>
      </c>
      <c r="BO58" s="23" t="str">
        <f t="shared" si="97"/>
        <v/>
      </c>
      <c r="BP58" s="23" t="str">
        <f t="shared" si="97"/>
        <v/>
      </c>
      <c r="BQ58" s="23" t="str">
        <f t="shared" si="97"/>
        <v/>
      </c>
      <c r="BR58" s="23" t="str">
        <f t="shared" si="97"/>
        <v/>
      </c>
      <c r="BS58" s="23" t="str">
        <f t="shared" si="97"/>
        <v/>
      </c>
      <c r="BT58" s="23" t="str">
        <f t="shared" si="98"/>
        <v/>
      </c>
      <c r="BU58" s="23" t="str">
        <f t="shared" si="98"/>
        <v/>
      </c>
      <c r="BV58" s="23" t="str">
        <f t="shared" si="98"/>
        <v/>
      </c>
      <c r="BW58" s="23" t="str">
        <f t="shared" si="98"/>
        <v/>
      </c>
      <c r="BX58" s="23" t="str">
        <f t="shared" si="98"/>
        <v/>
      </c>
      <c r="BY58" s="23" t="str">
        <f t="shared" si="98"/>
        <v/>
      </c>
      <c r="BZ58" s="23" t="str">
        <f t="shared" si="98"/>
        <v/>
      </c>
      <c r="CA58" s="23" t="str">
        <f t="shared" si="98"/>
        <v/>
      </c>
      <c r="CB58" s="23" t="str">
        <f t="shared" si="98"/>
        <v/>
      </c>
      <c r="CC58" s="23" t="str">
        <f t="shared" si="98"/>
        <v/>
      </c>
      <c r="CD58" s="23" t="str">
        <f t="shared" si="99"/>
        <v/>
      </c>
      <c r="CE58" s="23" t="str">
        <f t="shared" si="99"/>
        <v/>
      </c>
      <c r="CF58" s="23" t="str">
        <f t="shared" si="99"/>
        <v/>
      </c>
      <c r="CG58" s="23" t="str">
        <f t="shared" si="99"/>
        <v/>
      </c>
      <c r="CH58" s="23" t="str">
        <f t="shared" si="99"/>
        <v/>
      </c>
      <c r="CI58" s="23" t="str">
        <f t="shared" si="99"/>
        <v/>
      </c>
      <c r="CJ58" s="23" t="str">
        <f t="shared" si="99"/>
        <v/>
      </c>
      <c r="CK58" s="23" t="str">
        <f t="shared" si="99"/>
        <v/>
      </c>
      <c r="CL58" s="23" t="str">
        <f t="shared" si="99"/>
        <v/>
      </c>
      <c r="CM58" s="23" t="str">
        <f t="shared" si="99"/>
        <v/>
      </c>
      <c r="CN58" s="23" t="str">
        <f t="shared" si="100"/>
        <v/>
      </c>
      <c r="CO58" s="23" t="str">
        <f t="shared" si="100"/>
        <v/>
      </c>
      <c r="CP58" s="23" t="str">
        <f t="shared" si="100"/>
        <v/>
      </c>
      <c r="CQ58" s="23" t="str">
        <f t="shared" si="100"/>
        <v/>
      </c>
      <c r="CR58" s="23" t="str">
        <f t="shared" si="100"/>
        <v/>
      </c>
      <c r="CS58" s="23" t="str">
        <f t="shared" si="100"/>
        <v/>
      </c>
      <c r="CT58" s="23" t="str">
        <f t="shared" si="100"/>
        <v/>
      </c>
      <c r="CU58" s="23" t="str">
        <f t="shared" si="100"/>
        <v/>
      </c>
      <c r="CV58" s="23" t="str">
        <f t="shared" si="100"/>
        <v/>
      </c>
      <c r="CW58" s="23" t="str">
        <f t="shared" si="100"/>
        <v/>
      </c>
      <c r="CX58" s="23" t="str">
        <f t="shared" si="101"/>
        <v/>
      </c>
      <c r="CY58" s="23" t="str">
        <f t="shared" si="101"/>
        <v/>
      </c>
      <c r="CZ58" s="23" t="str">
        <f t="shared" si="101"/>
        <v/>
      </c>
      <c r="DA58" s="23" t="str">
        <f t="shared" si="101"/>
        <v/>
      </c>
      <c r="DB58" s="23" t="str">
        <f t="shared" si="101"/>
        <v/>
      </c>
      <c r="DC58" s="23" t="str">
        <f t="shared" si="101"/>
        <v/>
      </c>
      <c r="DD58" s="23" t="str">
        <f t="shared" si="101"/>
        <v/>
      </c>
      <c r="DE58" s="23" t="str">
        <f t="shared" si="101"/>
        <v/>
      </c>
      <c r="DF58" s="23" t="str">
        <f t="shared" si="101"/>
        <v/>
      </c>
      <c r="DG58" s="23" t="str">
        <f t="shared" si="101"/>
        <v/>
      </c>
      <c r="DH58" s="23" t="str">
        <f t="shared" si="101"/>
        <v/>
      </c>
      <c r="DI58" s="23" t="str">
        <f t="shared" si="101"/>
        <v/>
      </c>
      <c r="DJ58" s="23" t="str">
        <f t="shared" si="101"/>
        <v/>
      </c>
      <c r="DK58" s="23" t="str">
        <f t="shared" si="101"/>
        <v/>
      </c>
      <c r="DO58" s="61">
        <f t="shared" si="53"/>
        <v>53</v>
      </c>
      <c r="DP58" s="61">
        <f>IF($A58&lt;&gt;"x",$L58*SUMIFS($AF58:$DK58,$AF$4:$DK$4,Jahresscheiben!C$2),0)</f>
        <v>0</v>
      </c>
      <c r="DQ58" s="61">
        <f>IF($A58&lt;&gt;"x",$L58*SUMIFS($AF58:$DK58,$AF$4:$DK$4,Jahresscheiben!D$2),0)</f>
        <v>0</v>
      </c>
      <c r="DR58" s="61">
        <f>IF($A58&lt;&gt;"x",$L58*SUMIFS($AF58:$DK58,$AF$4:$DK$4,Jahresscheiben!E$2),0)</f>
        <v>0</v>
      </c>
      <c r="DS58" s="61">
        <f>IF($A58&lt;&gt;"x",$L58*SUMIFS($AF58:$DK58,$AF$4:$DK$4,Jahresscheiben!F$2),0)</f>
        <v>0</v>
      </c>
      <c r="DT58" s="61">
        <f>IF($A58&lt;&gt;"x",$L58*SUMIFS($AF58:$DK58,$AF$4:$DK$4,Jahresscheiben!G$2),0)</f>
        <v>0</v>
      </c>
      <c r="DU58" s="61">
        <f>IF($A58&lt;&gt;"x",$L58*SUMIFS($AF58:$DK58,$AF$4:$DK$4,Jahresscheiben!H$2),0)</f>
        <v>0</v>
      </c>
      <c r="DV58" s="61">
        <f>IF($A58&lt;&gt;"x",$L58*SUMIFS($AF58:$DK58,$AF$4:$DK$4,Jahresscheiben!I$2),0)</f>
        <v>0</v>
      </c>
      <c r="DW58" s="85"/>
      <c r="DX58" s="61">
        <f t="shared" si="54"/>
        <v>53</v>
      </c>
      <c r="DY58" s="85">
        <f>IF($A58="x",$L58*SUMIFS($AF58:$DK58,$AF$4:$DK$4,Jahresscheiben!C$2)/2,0)</f>
        <v>0</v>
      </c>
      <c r="DZ58" s="85">
        <f>IF($A58="x",$L58*SUMIFS($AF58:$DK58,$AF$4:$DK$4,Jahresscheiben!D$2)/2,0)</f>
        <v>0</v>
      </c>
      <c r="EA58" s="85">
        <f>IF($A58="x",$L58*SUMIFS($AF58:$DK58,$AF$4:$DK$4,Jahresscheiben!E$2)/2,0)</f>
        <v>0</v>
      </c>
      <c r="EB58" s="85">
        <f>IF($A58="x",$L58*SUMIFS($AF58:$DK58,$AF$4:$DK$4,Jahresscheiben!F$2)/2,0)</f>
        <v>0</v>
      </c>
      <c r="EC58" s="85">
        <f>IF($A58="x",$L58*SUMIFS($AF58:$DK58,$AF$4:$DK$4,Jahresscheiben!G$2)/2,0)</f>
        <v>0</v>
      </c>
      <c r="ED58" s="85">
        <f>IF($A58="x",$L58*SUMIFS($AF58:$DK58,$AF$4:$DK$4,Jahresscheiben!H$2)/2,0)</f>
        <v>0</v>
      </c>
      <c r="EE58" s="85">
        <f>IF($A58="x",$L58*SUMIFS($AF58:$DK58,$AF$4:$DK$4,Jahresscheiben!I$2)/2,0)</f>
        <v>0</v>
      </c>
      <c r="EF58" s="85"/>
      <c r="EG58" s="61">
        <f t="shared" si="55"/>
        <v>53</v>
      </c>
      <c r="EH58" s="85" cm="1">
        <f t="array" ref="EH5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58" s="85" cm="1">
        <f t="array" ref="EI5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58" s="85" cm="1">
        <f t="array" ref="EJ5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58" s="85" cm="1">
        <f t="array" ref="EK5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58" s="85" cm="1">
        <f t="array" ref="EL5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58" s="85" cm="1">
        <f t="array" ref="EM5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58" s="85" cm="1">
        <f t="array" ref="EN5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58" s="85"/>
      <c r="EQ58" s="61">
        <f t="shared" si="56"/>
        <v>53</v>
      </c>
      <c r="ER58" s="62">
        <f>IF($A58&lt;&gt;"x",$P58*SUMIFS($AF58:$DK58,$AF$4:$DK$4,Jahresscheiben!C$2),0)</f>
        <v>0</v>
      </c>
      <c r="ES58" s="62">
        <f>IF($A58&lt;&gt;"x",$P58*SUMIFS($AF58:$DK58,$AF$4:$DK$4,Jahresscheiben!D$2),0)</f>
        <v>0</v>
      </c>
      <c r="ET58" s="62">
        <f>IF($A58&lt;&gt;"x",$P58*SUMIFS($AF58:$DK58,$AF$4:$DK$4,Jahresscheiben!E$2),0)</f>
        <v>0</v>
      </c>
      <c r="EU58" s="62">
        <f>IF($A58&lt;&gt;"x",$P58*SUMIFS($AF58:$DK58,$AF$4:$DK$4,Jahresscheiben!F$2),0)</f>
        <v>0</v>
      </c>
      <c r="EV58" s="62">
        <f>IF($A58&lt;&gt;"x",$P58*SUMIFS($AF58:$DK58,$AF$4:$DK$4,Jahresscheiben!G$2),0)</f>
        <v>0</v>
      </c>
      <c r="EW58" s="62">
        <f>IF($A58&lt;&gt;"x",$P58*SUMIFS($AF58:$DK58,$AF$4:$DK$4,Jahresscheiben!H$2),0)</f>
        <v>0</v>
      </c>
      <c r="EX58" s="62">
        <f>IF($A58&lt;&gt;"x",$P58*SUMIFS($AF58:$DK58,$AF$4:$DK$4,Jahresscheiben!I$2),0)</f>
        <v>0</v>
      </c>
      <c r="EY58" s="85"/>
      <c r="EZ58" s="61">
        <f t="shared" si="57"/>
        <v>53</v>
      </c>
      <c r="FA58" s="85">
        <f>IF($A58="x",$P58*SUMIFS($AF58:$DK58,$AF$4:$DK$4,Jahresscheiben!C$2)/2,0)</f>
        <v>0</v>
      </c>
      <c r="FB58" s="85">
        <f>IF($A58="x",$P58*SUMIFS($AF58:$DK58,$AF$4:$DK$4,Jahresscheiben!D$2)/2,0)</f>
        <v>0</v>
      </c>
      <c r="FC58" s="85">
        <f>IF($A58="x",$P58*SUMIFS($AF58:$DK58,$AF$4:$DK$4,Jahresscheiben!E$2)/2,0)</f>
        <v>0</v>
      </c>
      <c r="FD58" s="85">
        <f>IF($A58="x",$P58*SUMIFS($AF58:$DK58,$AF$4:$DK$4,Jahresscheiben!F$2)/2,0)</f>
        <v>0</v>
      </c>
      <c r="FE58" s="85">
        <f>IF($A58="x",$P58*SUMIFS($AF58:$DK58,$AF$4:$DK$4,Jahresscheiben!G$2)/2,0)</f>
        <v>0</v>
      </c>
      <c r="FF58" s="85">
        <f>IF($A58="x",$P58*SUMIFS($AF58:$DK58,$AF$4:$DK$4,Jahresscheiben!H$2)/2,0)</f>
        <v>0</v>
      </c>
      <c r="FG58" s="85">
        <f>IF($A58="x",$P58*SUMIFS($AF58:$DK58,$AF$4:$DK$4,Jahresscheiben!I$2)/2,0)</f>
        <v>0</v>
      </c>
      <c r="FH58" s="85"/>
      <c r="FI58" s="61">
        <f t="shared" si="58"/>
        <v>53</v>
      </c>
      <c r="FJ58" s="85" cm="1">
        <f t="array" ref="FJ5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58" s="85" cm="1">
        <f t="array" ref="FK5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58" s="85" cm="1">
        <f t="array" ref="FL5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58" s="85" cm="1">
        <f t="array" ref="FM5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58" s="85" cm="1">
        <f t="array" ref="FN5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58" s="85" cm="1">
        <f t="array" ref="FO5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58" s="85" cm="1">
        <f t="array" ref="FP58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59" spans="1:172" ht="17" hidden="1" customHeight="1" thickBot="1" x14ac:dyDescent="0.55000000000000004">
      <c r="A59" s="30" t="s">
        <v>24</v>
      </c>
      <c r="B59" s="31">
        <f t="shared" si="50"/>
        <v>0</v>
      </c>
      <c r="C59" s="22">
        <f t="shared" si="51"/>
        <v>54</v>
      </c>
      <c r="D59" s="25"/>
      <c r="E59" s="26"/>
      <c r="F59" s="26"/>
      <c r="G59" s="26"/>
      <c r="H59" s="26"/>
      <c r="I59" s="6" t="str">
        <f t="shared" si="40"/>
        <v/>
      </c>
      <c r="J59" s="6" t="str">
        <f t="shared" si="41"/>
        <v/>
      </c>
      <c r="K59" s="26"/>
      <c r="L59" s="53">
        <v>1</v>
      </c>
      <c r="M59" s="60" cm="1">
        <f t="array" ref="M59" xml:space="preserve">
_xlfn.LET(
_xlpm.Z, _xlfn._xlws.FILTER($DY$6:$EE$65,$DX$6:$DX$65=C59),
_xlpm.Q,_xlfn._xlws.FILTER($DP$6:$DV$65,$DO$6:$DO$65=C59),
IF($A59="x",SUMPRODUCT(_xlpm.Z,$DY$73:$EE$73,EH59:EN59),SUMPRODUCT(_xlpm.Q,$DP$73:$DV$73)))</f>
        <v>0</v>
      </c>
      <c r="N59" s="54" t="str" cm="1">
        <f t="array" ref="N59" xml:space="preserve">
_xlfn.LET(
_xlpm.Z, SUM(IF($A59="x",_xlfn._xlws.FILTER($M$6:$M$65,$A$6:$A$65="x"),_xlfn._xlws.FILTER($M$6:$M$65,$A$6:$A$65&lt;&gt;"x"))),
IF(_xlpm.Z&lt;&gt;0,M59/_xlpm.Z,""))</f>
        <v/>
      </c>
      <c r="O59" s="26"/>
      <c r="P59" s="53">
        <f t="shared" si="52"/>
        <v>1</v>
      </c>
      <c r="Q59" s="60" cm="1">
        <f t="array" ref="Q59" xml:space="preserve">
_xlfn.LET(
_xlpm.Z, _xlfn._xlws.FILTER($FA$6:$FG$65,$EZ$6:$EZ$65=C59),
_xlpm.Q,_xlfn._xlws.FILTER($ER$6:$EX$65,$EQ$6:$EQ$65=C59),
IF($A59="x",SUMPRODUCT(_xlpm.Z,$FA$73:$FG$73,FJ59:FP59),SUMPRODUCT(_xlpm.Q,$ER$73:$EX$73)))</f>
        <v>0</v>
      </c>
      <c r="R59" s="54" t="str" cm="1">
        <f t="array" ref="R59" xml:space="preserve">
_xlfn.LET(
_xlpm.Z, SUM(IF($A59="x",_xlfn._xlws.FILTER($Q$6:$Q$65,$A$6:$A$65="x"),_xlfn._xlws.FILTER($Q$6:$Q$65,$A$6:$A$65&lt;&gt;"x"))),
IF(_xlpm.Z&lt;&gt;0,Q59/_xlpm.Z,""))</f>
        <v/>
      </c>
      <c r="S59" s="26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8"/>
      <c r="AE59" s="28"/>
      <c r="AF59" s="23" t="str">
        <f t="shared" si="94"/>
        <v/>
      </c>
      <c r="AG59" s="23" t="str">
        <f t="shared" si="94"/>
        <v/>
      </c>
      <c r="AH59" s="23" t="str">
        <f t="shared" si="94"/>
        <v/>
      </c>
      <c r="AI59" s="23" t="str">
        <f t="shared" si="94"/>
        <v/>
      </c>
      <c r="AJ59" s="23" t="str">
        <f t="shared" si="94"/>
        <v/>
      </c>
      <c r="AK59" s="23" t="str">
        <f t="shared" si="94"/>
        <v/>
      </c>
      <c r="AL59" s="23" t="str">
        <f t="shared" si="94"/>
        <v/>
      </c>
      <c r="AM59" s="23" t="str">
        <f t="shared" si="94"/>
        <v/>
      </c>
      <c r="AN59" s="23" t="str">
        <f t="shared" si="94"/>
        <v/>
      </c>
      <c r="AO59" s="23" t="str">
        <f t="shared" si="94"/>
        <v/>
      </c>
      <c r="AP59" s="23" t="str">
        <f t="shared" si="95"/>
        <v/>
      </c>
      <c r="AQ59" s="23" t="str">
        <f t="shared" si="95"/>
        <v/>
      </c>
      <c r="AR59" s="23" t="str">
        <f t="shared" si="95"/>
        <v/>
      </c>
      <c r="AS59" s="23" t="str">
        <f t="shared" si="95"/>
        <v/>
      </c>
      <c r="AT59" s="23" t="str">
        <f t="shared" si="95"/>
        <v/>
      </c>
      <c r="AU59" s="23" t="str">
        <f t="shared" si="95"/>
        <v/>
      </c>
      <c r="AV59" s="23" t="str">
        <f t="shared" si="95"/>
        <v/>
      </c>
      <c r="AW59" s="23" t="str">
        <f t="shared" si="95"/>
        <v/>
      </c>
      <c r="AX59" s="23" t="str">
        <f t="shared" si="95"/>
        <v/>
      </c>
      <c r="AY59" s="23" t="str">
        <f t="shared" si="95"/>
        <v/>
      </c>
      <c r="AZ59" s="23" t="str">
        <f t="shared" si="96"/>
        <v/>
      </c>
      <c r="BA59" s="23" t="str">
        <f t="shared" si="96"/>
        <v/>
      </c>
      <c r="BB59" s="23" t="str">
        <f t="shared" si="96"/>
        <v/>
      </c>
      <c r="BC59" s="23" t="str">
        <f t="shared" si="96"/>
        <v/>
      </c>
      <c r="BD59" s="23" t="str">
        <f t="shared" si="96"/>
        <v/>
      </c>
      <c r="BE59" s="23" t="str">
        <f t="shared" si="96"/>
        <v/>
      </c>
      <c r="BF59" s="23" t="str">
        <f t="shared" si="96"/>
        <v/>
      </c>
      <c r="BG59" s="23" t="str">
        <f t="shared" si="96"/>
        <v/>
      </c>
      <c r="BH59" s="23" t="str">
        <f t="shared" si="96"/>
        <v/>
      </c>
      <c r="BI59" s="23" t="str">
        <f t="shared" si="96"/>
        <v/>
      </c>
      <c r="BJ59" s="23" t="str">
        <f t="shared" si="97"/>
        <v/>
      </c>
      <c r="BK59" s="23" t="str">
        <f t="shared" si="97"/>
        <v/>
      </c>
      <c r="BL59" s="23" t="str">
        <f t="shared" si="97"/>
        <v/>
      </c>
      <c r="BM59" s="23" t="str">
        <f t="shared" si="97"/>
        <v/>
      </c>
      <c r="BN59" s="23" t="str">
        <f t="shared" si="97"/>
        <v/>
      </c>
      <c r="BO59" s="23" t="str">
        <f t="shared" si="97"/>
        <v/>
      </c>
      <c r="BP59" s="23" t="str">
        <f t="shared" si="97"/>
        <v/>
      </c>
      <c r="BQ59" s="23" t="str">
        <f t="shared" si="97"/>
        <v/>
      </c>
      <c r="BR59" s="23" t="str">
        <f t="shared" si="97"/>
        <v/>
      </c>
      <c r="BS59" s="23" t="str">
        <f t="shared" si="97"/>
        <v/>
      </c>
      <c r="BT59" s="23" t="str">
        <f t="shared" si="98"/>
        <v/>
      </c>
      <c r="BU59" s="23" t="str">
        <f t="shared" si="98"/>
        <v/>
      </c>
      <c r="BV59" s="23" t="str">
        <f t="shared" si="98"/>
        <v/>
      </c>
      <c r="BW59" s="23" t="str">
        <f t="shared" si="98"/>
        <v/>
      </c>
      <c r="BX59" s="23" t="str">
        <f t="shared" si="98"/>
        <v/>
      </c>
      <c r="BY59" s="23" t="str">
        <f t="shared" si="98"/>
        <v/>
      </c>
      <c r="BZ59" s="23" t="str">
        <f t="shared" si="98"/>
        <v/>
      </c>
      <c r="CA59" s="23" t="str">
        <f t="shared" si="98"/>
        <v/>
      </c>
      <c r="CB59" s="23" t="str">
        <f t="shared" si="98"/>
        <v/>
      </c>
      <c r="CC59" s="23" t="str">
        <f t="shared" si="98"/>
        <v/>
      </c>
      <c r="CD59" s="23" t="str">
        <f t="shared" si="99"/>
        <v/>
      </c>
      <c r="CE59" s="23" t="str">
        <f t="shared" si="99"/>
        <v/>
      </c>
      <c r="CF59" s="23" t="str">
        <f t="shared" si="99"/>
        <v/>
      </c>
      <c r="CG59" s="23" t="str">
        <f t="shared" si="99"/>
        <v/>
      </c>
      <c r="CH59" s="23" t="str">
        <f t="shared" si="99"/>
        <v/>
      </c>
      <c r="CI59" s="23" t="str">
        <f t="shared" si="99"/>
        <v/>
      </c>
      <c r="CJ59" s="23" t="str">
        <f t="shared" si="99"/>
        <v/>
      </c>
      <c r="CK59" s="23" t="str">
        <f t="shared" si="99"/>
        <v/>
      </c>
      <c r="CL59" s="23" t="str">
        <f t="shared" si="99"/>
        <v/>
      </c>
      <c r="CM59" s="23" t="str">
        <f t="shared" si="99"/>
        <v/>
      </c>
      <c r="CN59" s="23" t="str">
        <f t="shared" si="100"/>
        <v/>
      </c>
      <c r="CO59" s="23" t="str">
        <f t="shared" si="100"/>
        <v/>
      </c>
      <c r="CP59" s="23" t="str">
        <f t="shared" si="100"/>
        <v/>
      </c>
      <c r="CQ59" s="23" t="str">
        <f t="shared" si="100"/>
        <v/>
      </c>
      <c r="CR59" s="23" t="str">
        <f t="shared" si="100"/>
        <v/>
      </c>
      <c r="CS59" s="23" t="str">
        <f t="shared" si="100"/>
        <v/>
      </c>
      <c r="CT59" s="23" t="str">
        <f t="shared" si="100"/>
        <v/>
      </c>
      <c r="CU59" s="23" t="str">
        <f t="shared" si="100"/>
        <v/>
      </c>
      <c r="CV59" s="23" t="str">
        <f t="shared" si="100"/>
        <v/>
      </c>
      <c r="CW59" s="23" t="str">
        <f t="shared" si="100"/>
        <v/>
      </c>
      <c r="CX59" s="23" t="str">
        <f t="shared" si="101"/>
        <v/>
      </c>
      <c r="CY59" s="23" t="str">
        <f t="shared" si="101"/>
        <v/>
      </c>
      <c r="CZ59" s="23" t="str">
        <f t="shared" si="101"/>
        <v/>
      </c>
      <c r="DA59" s="23" t="str">
        <f t="shared" si="101"/>
        <v/>
      </c>
      <c r="DB59" s="23" t="str">
        <f t="shared" si="101"/>
        <v/>
      </c>
      <c r="DC59" s="23" t="str">
        <f t="shared" si="101"/>
        <v/>
      </c>
      <c r="DD59" s="23" t="str">
        <f t="shared" si="101"/>
        <v/>
      </c>
      <c r="DE59" s="23" t="str">
        <f t="shared" si="101"/>
        <v/>
      </c>
      <c r="DF59" s="23" t="str">
        <f t="shared" si="101"/>
        <v/>
      </c>
      <c r="DG59" s="23" t="str">
        <f t="shared" si="101"/>
        <v/>
      </c>
      <c r="DH59" s="23" t="str">
        <f t="shared" si="101"/>
        <v/>
      </c>
      <c r="DI59" s="23" t="str">
        <f t="shared" si="101"/>
        <v/>
      </c>
      <c r="DJ59" s="23" t="str">
        <f t="shared" si="101"/>
        <v/>
      </c>
      <c r="DK59" s="23" t="str">
        <f t="shared" si="101"/>
        <v/>
      </c>
      <c r="DO59" s="61">
        <f t="shared" si="53"/>
        <v>54</v>
      </c>
      <c r="DP59" s="61">
        <f>IF($A59&lt;&gt;"x",$L59*SUMIFS($AF59:$DK59,$AF$4:$DK$4,Jahresscheiben!C$2),0)</f>
        <v>0</v>
      </c>
      <c r="DQ59" s="61">
        <f>IF($A59&lt;&gt;"x",$L59*SUMIFS($AF59:$DK59,$AF$4:$DK$4,Jahresscheiben!D$2),0)</f>
        <v>0</v>
      </c>
      <c r="DR59" s="61">
        <f>IF($A59&lt;&gt;"x",$L59*SUMIFS($AF59:$DK59,$AF$4:$DK$4,Jahresscheiben!E$2),0)</f>
        <v>0</v>
      </c>
      <c r="DS59" s="61">
        <f>IF($A59&lt;&gt;"x",$L59*SUMIFS($AF59:$DK59,$AF$4:$DK$4,Jahresscheiben!F$2),0)</f>
        <v>0</v>
      </c>
      <c r="DT59" s="61">
        <f>IF($A59&lt;&gt;"x",$L59*SUMIFS($AF59:$DK59,$AF$4:$DK$4,Jahresscheiben!G$2),0)</f>
        <v>0</v>
      </c>
      <c r="DU59" s="61">
        <f>IF($A59&lt;&gt;"x",$L59*SUMIFS($AF59:$DK59,$AF$4:$DK$4,Jahresscheiben!H$2),0)</f>
        <v>0</v>
      </c>
      <c r="DV59" s="61">
        <f>IF($A59&lt;&gt;"x",$L59*SUMIFS($AF59:$DK59,$AF$4:$DK$4,Jahresscheiben!I$2),0)</f>
        <v>0</v>
      </c>
      <c r="DW59" s="85"/>
      <c r="DX59" s="61">
        <f t="shared" si="54"/>
        <v>54</v>
      </c>
      <c r="DY59" s="85">
        <f>IF($A59="x",$L59*SUMIFS($AF59:$DK59,$AF$4:$DK$4,Jahresscheiben!C$2)/2,0)</f>
        <v>0</v>
      </c>
      <c r="DZ59" s="85">
        <f>IF($A59="x",$L59*SUMIFS($AF59:$DK59,$AF$4:$DK$4,Jahresscheiben!D$2)/2,0)</f>
        <v>0</v>
      </c>
      <c r="EA59" s="85">
        <f>IF($A59="x",$L59*SUMIFS($AF59:$DK59,$AF$4:$DK$4,Jahresscheiben!E$2)/2,0)</f>
        <v>0</v>
      </c>
      <c r="EB59" s="85">
        <f>IF($A59="x",$L59*SUMIFS($AF59:$DK59,$AF$4:$DK$4,Jahresscheiben!F$2)/2,0)</f>
        <v>0</v>
      </c>
      <c r="EC59" s="85">
        <f>IF($A59="x",$L59*SUMIFS($AF59:$DK59,$AF$4:$DK$4,Jahresscheiben!G$2)/2,0)</f>
        <v>0</v>
      </c>
      <c r="ED59" s="85">
        <f>IF($A59="x",$L59*SUMIFS($AF59:$DK59,$AF$4:$DK$4,Jahresscheiben!H$2)/2,0)</f>
        <v>0</v>
      </c>
      <c r="EE59" s="85">
        <f>IF($A59="x",$L59*SUMIFS($AF59:$DK59,$AF$4:$DK$4,Jahresscheiben!I$2)/2,0)</f>
        <v>0</v>
      </c>
      <c r="EF59" s="85"/>
      <c r="EG59" s="61">
        <f t="shared" si="55"/>
        <v>54</v>
      </c>
      <c r="EH59" s="85" cm="1">
        <f t="array" ref="EH5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59" s="85" cm="1">
        <f t="array" ref="EI5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59" s="85" cm="1">
        <f t="array" ref="EJ5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59" s="85" cm="1">
        <f t="array" ref="EK5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59" s="85" cm="1">
        <f t="array" ref="EL5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59" s="85" cm="1">
        <f t="array" ref="EM5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59" s="85" cm="1">
        <f t="array" ref="EN5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59" s="85"/>
      <c r="EQ59" s="61">
        <f t="shared" si="56"/>
        <v>54</v>
      </c>
      <c r="ER59" s="62">
        <f>IF($A59&lt;&gt;"x",$P59*SUMIFS($AF59:$DK59,$AF$4:$DK$4,Jahresscheiben!C$2),0)</f>
        <v>0</v>
      </c>
      <c r="ES59" s="62">
        <f>IF($A59&lt;&gt;"x",$P59*SUMIFS($AF59:$DK59,$AF$4:$DK$4,Jahresscheiben!D$2),0)</f>
        <v>0</v>
      </c>
      <c r="ET59" s="62">
        <f>IF($A59&lt;&gt;"x",$P59*SUMIFS($AF59:$DK59,$AF$4:$DK$4,Jahresscheiben!E$2),0)</f>
        <v>0</v>
      </c>
      <c r="EU59" s="62">
        <f>IF($A59&lt;&gt;"x",$P59*SUMIFS($AF59:$DK59,$AF$4:$DK$4,Jahresscheiben!F$2),0)</f>
        <v>0</v>
      </c>
      <c r="EV59" s="62">
        <f>IF($A59&lt;&gt;"x",$P59*SUMIFS($AF59:$DK59,$AF$4:$DK$4,Jahresscheiben!G$2),0)</f>
        <v>0</v>
      </c>
      <c r="EW59" s="62">
        <f>IF($A59&lt;&gt;"x",$P59*SUMIFS($AF59:$DK59,$AF$4:$DK$4,Jahresscheiben!H$2),0)</f>
        <v>0</v>
      </c>
      <c r="EX59" s="62">
        <f>IF($A59&lt;&gt;"x",$P59*SUMIFS($AF59:$DK59,$AF$4:$DK$4,Jahresscheiben!I$2),0)</f>
        <v>0</v>
      </c>
      <c r="EY59" s="85"/>
      <c r="EZ59" s="61">
        <f t="shared" si="57"/>
        <v>54</v>
      </c>
      <c r="FA59" s="85">
        <f>IF($A59="x",$P59*SUMIFS($AF59:$DK59,$AF$4:$DK$4,Jahresscheiben!C$2)/2,0)</f>
        <v>0</v>
      </c>
      <c r="FB59" s="85">
        <f>IF($A59="x",$P59*SUMIFS($AF59:$DK59,$AF$4:$DK$4,Jahresscheiben!D$2)/2,0)</f>
        <v>0</v>
      </c>
      <c r="FC59" s="85">
        <f>IF($A59="x",$P59*SUMIFS($AF59:$DK59,$AF$4:$DK$4,Jahresscheiben!E$2)/2,0)</f>
        <v>0</v>
      </c>
      <c r="FD59" s="85">
        <f>IF($A59="x",$P59*SUMIFS($AF59:$DK59,$AF$4:$DK$4,Jahresscheiben!F$2)/2,0)</f>
        <v>0</v>
      </c>
      <c r="FE59" s="85">
        <f>IF($A59="x",$P59*SUMIFS($AF59:$DK59,$AF$4:$DK$4,Jahresscheiben!G$2)/2,0)</f>
        <v>0</v>
      </c>
      <c r="FF59" s="85">
        <f>IF($A59="x",$P59*SUMIFS($AF59:$DK59,$AF$4:$DK$4,Jahresscheiben!H$2)/2,0)</f>
        <v>0</v>
      </c>
      <c r="FG59" s="85">
        <f>IF($A59="x",$P59*SUMIFS($AF59:$DK59,$AF$4:$DK$4,Jahresscheiben!I$2)/2,0)</f>
        <v>0</v>
      </c>
      <c r="FH59" s="85"/>
      <c r="FI59" s="61">
        <f t="shared" si="58"/>
        <v>54</v>
      </c>
      <c r="FJ59" s="85" cm="1">
        <f t="array" ref="FJ5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59" s="85" cm="1">
        <f t="array" ref="FK5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59" s="85" cm="1">
        <f t="array" ref="FL5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59" s="85" cm="1">
        <f t="array" ref="FM5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59" s="85" cm="1">
        <f t="array" ref="FN5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59" s="85" cm="1">
        <f t="array" ref="FO5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59" s="85" cm="1">
        <f t="array" ref="FP59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60" spans="1:172" ht="17" hidden="1" customHeight="1" thickBot="1" x14ac:dyDescent="0.55000000000000004">
      <c r="A60" s="30" t="s">
        <v>24</v>
      </c>
      <c r="B60" s="31">
        <f t="shared" si="50"/>
        <v>0</v>
      </c>
      <c r="C60" s="22">
        <f t="shared" si="51"/>
        <v>55</v>
      </c>
      <c r="D60" s="25"/>
      <c r="E60" s="26"/>
      <c r="F60" s="26"/>
      <c r="G60" s="26"/>
      <c r="H60" s="26"/>
      <c r="I60" s="6" t="str">
        <f t="shared" si="40"/>
        <v/>
      </c>
      <c r="J60" s="6" t="str">
        <f t="shared" si="41"/>
        <v/>
      </c>
      <c r="K60" s="26"/>
      <c r="L60" s="53">
        <v>1</v>
      </c>
      <c r="M60" s="60" cm="1">
        <f t="array" ref="M60" xml:space="preserve">
_xlfn.LET(
_xlpm.Z, _xlfn._xlws.FILTER($DY$6:$EE$65,$DX$6:$DX$65=C60),
_xlpm.Q,_xlfn._xlws.FILTER($DP$6:$DV$65,$DO$6:$DO$65=C60),
IF($A60="x",SUMPRODUCT(_xlpm.Z,$DY$73:$EE$73,EH60:EN60),SUMPRODUCT(_xlpm.Q,$DP$73:$DV$73)))</f>
        <v>0</v>
      </c>
      <c r="N60" s="54" t="str" cm="1">
        <f t="array" ref="N60" xml:space="preserve">
_xlfn.LET(
_xlpm.Z, SUM(IF($A60="x",_xlfn._xlws.FILTER($M$6:$M$65,$A$6:$A$65="x"),_xlfn._xlws.FILTER($M$6:$M$65,$A$6:$A$65&lt;&gt;"x"))),
IF(_xlpm.Z&lt;&gt;0,M60/_xlpm.Z,""))</f>
        <v/>
      </c>
      <c r="O60" s="26"/>
      <c r="P60" s="53">
        <f t="shared" si="52"/>
        <v>1</v>
      </c>
      <c r="Q60" s="60" cm="1">
        <f t="array" ref="Q60" xml:space="preserve">
_xlfn.LET(
_xlpm.Z, _xlfn._xlws.FILTER($FA$6:$FG$65,$EZ$6:$EZ$65=C60),
_xlpm.Q,_xlfn._xlws.FILTER($ER$6:$EX$65,$EQ$6:$EQ$65=C60),
IF($A60="x",SUMPRODUCT(_xlpm.Z,$FA$73:$FG$73,FJ60:FP60),SUMPRODUCT(_xlpm.Q,$ER$73:$EX$73)))</f>
        <v>0</v>
      </c>
      <c r="R60" s="54" t="str" cm="1">
        <f t="array" ref="R60" xml:space="preserve">
_xlfn.LET(
_xlpm.Z, SUM(IF($A60="x",_xlfn._xlws.FILTER($Q$6:$Q$65,$A$6:$A$65="x"),_xlfn._xlws.FILTER($Q$6:$Q$65,$A$6:$A$65&lt;&gt;"x"))),
IF(_xlpm.Z&lt;&gt;0,Q60/_xlpm.Z,""))</f>
        <v/>
      </c>
      <c r="S60" s="26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8"/>
      <c r="AE60" s="28"/>
      <c r="AF60" s="23" t="str">
        <f t="shared" si="94"/>
        <v/>
      </c>
      <c r="AG60" s="23" t="str">
        <f t="shared" si="94"/>
        <v/>
      </c>
      <c r="AH60" s="23" t="str">
        <f t="shared" si="94"/>
        <v/>
      </c>
      <c r="AI60" s="23" t="str">
        <f t="shared" si="94"/>
        <v/>
      </c>
      <c r="AJ60" s="23" t="str">
        <f t="shared" si="94"/>
        <v/>
      </c>
      <c r="AK60" s="23" t="str">
        <f t="shared" si="94"/>
        <v/>
      </c>
      <c r="AL60" s="23" t="str">
        <f t="shared" si="94"/>
        <v/>
      </c>
      <c r="AM60" s="23" t="str">
        <f t="shared" si="94"/>
        <v/>
      </c>
      <c r="AN60" s="23" t="str">
        <f t="shared" si="94"/>
        <v/>
      </c>
      <c r="AO60" s="23" t="str">
        <f t="shared" si="94"/>
        <v/>
      </c>
      <c r="AP60" s="23" t="str">
        <f t="shared" si="95"/>
        <v/>
      </c>
      <c r="AQ60" s="23" t="str">
        <f t="shared" si="95"/>
        <v/>
      </c>
      <c r="AR60" s="23" t="str">
        <f t="shared" si="95"/>
        <v/>
      </c>
      <c r="AS60" s="23" t="str">
        <f t="shared" si="95"/>
        <v/>
      </c>
      <c r="AT60" s="23" t="str">
        <f t="shared" si="95"/>
        <v/>
      </c>
      <c r="AU60" s="23" t="str">
        <f t="shared" si="95"/>
        <v/>
      </c>
      <c r="AV60" s="23" t="str">
        <f t="shared" si="95"/>
        <v/>
      </c>
      <c r="AW60" s="23" t="str">
        <f t="shared" si="95"/>
        <v/>
      </c>
      <c r="AX60" s="23" t="str">
        <f t="shared" si="95"/>
        <v/>
      </c>
      <c r="AY60" s="23" t="str">
        <f t="shared" si="95"/>
        <v/>
      </c>
      <c r="AZ60" s="23" t="str">
        <f t="shared" si="96"/>
        <v/>
      </c>
      <c r="BA60" s="23" t="str">
        <f t="shared" si="96"/>
        <v/>
      </c>
      <c r="BB60" s="23" t="str">
        <f t="shared" si="96"/>
        <v/>
      </c>
      <c r="BC60" s="23" t="str">
        <f t="shared" si="96"/>
        <v/>
      </c>
      <c r="BD60" s="23" t="str">
        <f t="shared" si="96"/>
        <v/>
      </c>
      <c r="BE60" s="23" t="str">
        <f t="shared" si="96"/>
        <v/>
      </c>
      <c r="BF60" s="23" t="str">
        <f t="shared" si="96"/>
        <v/>
      </c>
      <c r="BG60" s="23" t="str">
        <f t="shared" si="96"/>
        <v/>
      </c>
      <c r="BH60" s="23" t="str">
        <f t="shared" si="96"/>
        <v/>
      </c>
      <c r="BI60" s="23" t="str">
        <f t="shared" si="96"/>
        <v/>
      </c>
      <c r="BJ60" s="23" t="str">
        <f t="shared" si="97"/>
        <v/>
      </c>
      <c r="BK60" s="23" t="str">
        <f t="shared" si="97"/>
        <v/>
      </c>
      <c r="BL60" s="23" t="str">
        <f t="shared" si="97"/>
        <v/>
      </c>
      <c r="BM60" s="23" t="str">
        <f t="shared" si="97"/>
        <v/>
      </c>
      <c r="BN60" s="23" t="str">
        <f t="shared" si="97"/>
        <v/>
      </c>
      <c r="BO60" s="23" t="str">
        <f t="shared" si="97"/>
        <v/>
      </c>
      <c r="BP60" s="23" t="str">
        <f t="shared" si="97"/>
        <v/>
      </c>
      <c r="BQ60" s="23" t="str">
        <f t="shared" si="97"/>
        <v/>
      </c>
      <c r="BR60" s="23" t="str">
        <f t="shared" si="97"/>
        <v/>
      </c>
      <c r="BS60" s="23" t="str">
        <f t="shared" si="97"/>
        <v/>
      </c>
      <c r="BT60" s="23" t="str">
        <f t="shared" si="98"/>
        <v/>
      </c>
      <c r="BU60" s="23" t="str">
        <f t="shared" si="98"/>
        <v/>
      </c>
      <c r="BV60" s="23" t="str">
        <f t="shared" si="98"/>
        <v/>
      </c>
      <c r="BW60" s="23" t="str">
        <f t="shared" si="98"/>
        <v/>
      </c>
      <c r="BX60" s="23" t="str">
        <f t="shared" si="98"/>
        <v/>
      </c>
      <c r="BY60" s="23" t="str">
        <f t="shared" si="98"/>
        <v/>
      </c>
      <c r="BZ60" s="23" t="str">
        <f t="shared" si="98"/>
        <v/>
      </c>
      <c r="CA60" s="23" t="str">
        <f t="shared" si="98"/>
        <v/>
      </c>
      <c r="CB60" s="23" t="str">
        <f t="shared" si="98"/>
        <v/>
      </c>
      <c r="CC60" s="23" t="str">
        <f t="shared" si="98"/>
        <v/>
      </c>
      <c r="CD60" s="23" t="str">
        <f t="shared" si="99"/>
        <v/>
      </c>
      <c r="CE60" s="23" t="str">
        <f t="shared" si="99"/>
        <v/>
      </c>
      <c r="CF60" s="23" t="str">
        <f t="shared" si="99"/>
        <v/>
      </c>
      <c r="CG60" s="23" t="str">
        <f t="shared" si="99"/>
        <v/>
      </c>
      <c r="CH60" s="23" t="str">
        <f t="shared" si="99"/>
        <v/>
      </c>
      <c r="CI60" s="23" t="str">
        <f t="shared" si="99"/>
        <v/>
      </c>
      <c r="CJ60" s="23" t="str">
        <f t="shared" si="99"/>
        <v/>
      </c>
      <c r="CK60" s="23" t="str">
        <f t="shared" si="99"/>
        <v/>
      </c>
      <c r="CL60" s="23" t="str">
        <f t="shared" si="99"/>
        <v/>
      </c>
      <c r="CM60" s="23" t="str">
        <f t="shared" si="99"/>
        <v/>
      </c>
      <c r="CN60" s="23" t="str">
        <f t="shared" si="100"/>
        <v/>
      </c>
      <c r="CO60" s="23" t="str">
        <f t="shared" si="100"/>
        <v/>
      </c>
      <c r="CP60" s="23" t="str">
        <f t="shared" si="100"/>
        <v/>
      </c>
      <c r="CQ60" s="23" t="str">
        <f t="shared" si="100"/>
        <v/>
      </c>
      <c r="CR60" s="23" t="str">
        <f t="shared" si="100"/>
        <v/>
      </c>
      <c r="CS60" s="23" t="str">
        <f t="shared" si="100"/>
        <v/>
      </c>
      <c r="CT60" s="23" t="str">
        <f t="shared" si="100"/>
        <v/>
      </c>
      <c r="CU60" s="23" t="str">
        <f t="shared" si="100"/>
        <v/>
      </c>
      <c r="CV60" s="23" t="str">
        <f t="shared" si="100"/>
        <v/>
      </c>
      <c r="CW60" s="23" t="str">
        <f t="shared" si="100"/>
        <v/>
      </c>
      <c r="CX60" s="23" t="str">
        <f t="shared" si="101"/>
        <v/>
      </c>
      <c r="CY60" s="23" t="str">
        <f t="shared" si="101"/>
        <v/>
      </c>
      <c r="CZ60" s="23" t="str">
        <f t="shared" si="101"/>
        <v/>
      </c>
      <c r="DA60" s="23" t="str">
        <f t="shared" si="101"/>
        <v/>
      </c>
      <c r="DB60" s="23" t="str">
        <f t="shared" si="101"/>
        <v/>
      </c>
      <c r="DC60" s="23" t="str">
        <f t="shared" si="101"/>
        <v/>
      </c>
      <c r="DD60" s="23" t="str">
        <f t="shared" si="101"/>
        <v/>
      </c>
      <c r="DE60" s="23" t="str">
        <f t="shared" si="101"/>
        <v/>
      </c>
      <c r="DF60" s="23" t="str">
        <f t="shared" si="101"/>
        <v/>
      </c>
      <c r="DG60" s="23" t="str">
        <f t="shared" si="101"/>
        <v/>
      </c>
      <c r="DH60" s="23" t="str">
        <f t="shared" si="101"/>
        <v/>
      </c>
      <c r="DI60" s="23" t="str">
        <f t="shared" si="101"/>
        <v/>
      </c>
      <c r="DJ60" s="23" t="str">
        <f t="shared" si="101"/>
        <v/>
      </c>
      <c r="DK60" s="23" t="str">
        <f t="shared" si="101"/>
        <v/>
      </c>
      <c r="DO60" s="61">
        <f t="shared" si="53"/>
        <v>55</v>
      </c>
      <c r="DP60" s="61">
        <f>IF($A60&lt;&gt;"x",$L60*SUMIFS($AF60:$DK60,$AF$4:$DK$4,Jahresscheiben!C$2),0)</f>
        <v>0</v>
      </c>
      <c r="DQ60" s="61">
        <f>IF($A60&lt;&gt;"x",$L60*SUMIFS($AF60:$DK60,$AF$4:$DK$4,Jahresscheiben!D$2),0)</f>
        <v>0</v>
      </c>
      <c r="DR60" s="61">
        <f>IF($A60&lt;&gt;"x",$L60*SUMIFS($AF60:$DK60,$AF$4:$DK$4,Jahresscheiben!E$2),0)</f>
        <v>0</v>
      </c>
      <c r="DS60" s="61">
        <f>IF($A60&lt;&gt;"x",$L60*SUMIFS($AF60:$DK60,$AF$4:$DK$4,Jahresscheiben!F$2),0)</f>
        <v>0</v>
      </c>
      <c r="DT60" s="61">
        <f>IF($A60&lt;&gt;"x",$L60*SUMIFS($AF60:$DK60,$AF$4:$DK$4,Jahresscheiben!G$2),0)</f>
        <v>0</v>
      </c>
      <c r="DU60" s="61">
        <f>IF($A60&lt;&gt;"x",$L60*SUMIFS($AF60:$DK60,$AF$4:$DK$4,Jahresscheiben!H$2),0)</f>
        <v>0</v>
      </c>
      <c r="DV60" s="61">
        <f>IF($A60&lt;&gt;"x",$L60*SUMIFS($AF60:$DK60,$AF$4:$DK$4,Jahresscheiben!I$2),0)</f>
        <v>0</v>
      </c>
      <c r="DW60" s="85"/>
      <c r="DX60" s="61">
        <f t="shared" si="54"/>
        <v>55</v>
      </c>
      <c r="DY60" s="85">
        <f>IF($A60="x",$L60*SUMIFS($AF60:$DK60,$AF$4:$DK$4,Jahresscheiben!C$2)/2,0)</f>
        <v>0</v>
      </c>
      <c r="DZ60" s="85">
        <f>IF($A60="x",$L60*SUMIFS($AF60:$DK60,$AF$4:$DK$4,Jahresscheiben!D$2)/2,0)</f>
        <v>0</v>
      </c>
      <c r="EA60" s="85">
        <f>IF($A60="x",$L60*SUMIFS($AF60:$DK60,$AF$4:$DK$4,Jahresscheiben!E$2)/2,0)</f>
        <v>0</v>
      </c>
      <c r="EB60" s="85">
        <f>IF($A60="x",$L60*SUMIFS($AF60:$DK60,$AF$4:$DK$4,Jahresscheiben!F$2)/2,0)</f>
        <v>0</v>
      </c>
      <c r="EC60" s="85">
        <f>IF($A60="x",$L60*SUMIFS($AF60:$DK60,$AF$4:$DK$4,Jahresscheiben!G$2)/2,0)</f>
        <v>0</v>
      </c>
      <c r="ED60" s="85">
        <f>IF($A60="x",$L60*SUMIFS($AF60:$DK60,$AF$4:$DK$4,Jahresscheiben!H$2)/2,0)</f>
        <v>0</v>
      </c>
      <c r="EE60" s="85">
        <f>IF($A60="x",$L60*SUMIFS($AF60:$DK60,$AF$4:$DK$4,Jahresscheiben!I$2)/2,0)</f>
        <v>0</v>
      </c>
      <c r="EF60" s="85"/>
      <c r="EG60" s="61">
        <f t="shared" si="55"/>
        <v>55</v>
      </c>
      <c r="EH60" s="85" cm="1">
        <f t="array" ref="EH6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60" s="85" cm="1">
        <f t="array" ref="EI6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60" s="85" cm="1">
        <f t="array" ref="EJ6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60" s="85" cm="1">
        <f t="array" ref="EK6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60" s="85" cm="1">
        <f t="array" ref="EL6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60" s="85" cm="1">
        <f t="array" ref="EM6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60" s="85" cm="1">
        <f t="array" ref="EN6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60" s="85"/>
      <c r="EQ60" s="61">
        <f t="shared" si="56"/>
        <v>55</v>
      </c>
      <c r="ER60" s="62">
        <f>IF($A60&lt;&gt;"x",$P60*SUMIFS($AF60:$DK60,$AF$4:$DK$4,Jahresscheiben!C$2),0)</f>
        <v>0</v>
      </c>
      <c r="ES60" s="62">
        <f>IF($A60&lt;&gt;"x",$P60*SUMIFS($AF60:$DK60,$AF$4:$DK$4,Jahresscheiben!D$2),0)</f>
        <v>0</v>
      </c>
      <c r="ET60" s="62">
        <f>IF($A60&lt;&gt;"x",$P60*SUMIFS($AF60:$DK60,$AF$4:$DK$4,Jahresscheiben!E$2),0)</f>
        <v>0</v>
      </c>
      <c r="EU60" s="62">
        <f>IF($A60&lt;&gt;"x",$P60*SUMIFS($AF60:$DK60,$AF$4:$DK$4,Jahresscheiben!F$2),0)</f>
        <v>0</v>
      </c>
      <c r="EV60" s="62">
        <f>IF($A60&lt;&gt;"x",$P60*SUMIFS($AF60:$DK60,$AF$4:$DK$4,Jahresscheiben!G$2),0)</f>
        <v>0</v>
      </c>
      <c r="EW60" s="62">
        <f>IF($A60&lt;&gt;"x",$P60*SUMIFS($AF60:$DK60,$AF$4:$DK$4,Jahresscheiben!H$2),0)</f>
        <v>0</v>
      </c>
      <c r="EX60" s="62">
        <f>IF($A60&lt;&gt;"x",$P60*SUMIFS($AF60:$DK60,$AF$4:$DK$4,Jahresscheiben!I$2),0)</f>
        <v>0</v>
      </c>
      <c r="EY60" s="85"/>
      <c r="EZ60" s="61">
        <f t="shared" si="57"/>
        <v>55</v>
      </c>
      <c r="FA60" s="85">
        <f>IF($A60="x",$P60*SUMIFS($AF60:$DK60,$AF$4:$DK$4,Jahresscheiben!C$2)/2,0)</f>
        <v>0</v>
      </c>
      <c r="FB60" s="85">
        <f>IF($A60="x",$P60*SUMIFS($AF60:$DK60,$AF$4:$DK$4,Jahresscheiben!D$2)/2,0)</f>
        <v>0</v>
      </c>
      <c r="FC60" s="85">
        <f>IF($A60="x",$P60*SUMIFS($AF60:$DK60,$AF$4:$DK$4,Jahresscheiben!E$2)/2,0)</f>
        <v>0</v>
      </c>
      <c r="FD60" s="85">
        <f>IF($A60="x",$P60*SUMIFS($AF60:$DK60,$AF$4:$DK$4,Jahresscheiben!F$2)/2,0)</f>
        <v>0</v>
      </c>
      <c r="FE60" s="85">
        <f>IF($A60="x",$P60*SUMIFS($AF60:$DK60,$AF$4:$DK$4,Jahresscheiben!G$2)/2,0)</f>
        <v>0</v>
      </c>
      <c r="FF60" s="85">
        <f>IF($A60="x",$P60*SUMIFS($AF60:$DK60,$AF$4:$DK$4,Jahresscheiben!H$2)/2,0)</f>
        <v>0</v>
      </c>
      <c r="FG60" s="85">
        <f>IF($A60="x",$P60*SUMIFS($AF60:$DK60,$AF$4:$DK$4,Jahresscheiben!I$2)/2,0)</f>
        <v>0</v>
      </c>
      <c r="FH60" s="85"/>
      <c r="FI60" s="61">
        <f t="shared" si="58"/>
        <v>55</v>
      </c>
      <c r="FJ60" s="85" cm="1">
        <f t="array" ref="FJ6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60" s="85" cm="1">
        <f t="array" ref="FK6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60" s="85" cm="1">
        <f t="array" ref="FL6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60" s="85" cm="1">
        <f t="array" ref="FM6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60" s="85" cm="1">
        <f t="array" ref="FN6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60" s="85" cm="1">
        <f t="array" ref="FO6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60" s="85" cm="1">
        <f t="array" ref="FP60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61" spans="1:172" ht="17" hidden="1" customHeight="1" thickBot="1" x14ac:dyDescent="0.55000000000000004">
      <c r="A61" s="30" t="s">
        <v>24</v>
      </c>
      <c r="B61" s="31">
        <f t="shared" si="50"/>
        <v>0</v>
      </c>
      <c r="C61" s="22">
        <f t="shared" si="51"/>
        <v>56</v>
      </c>
      <c r="D61" s="25"/>
      <c r="E61" s="26"/>
      <c r="F61" s="26"/>
      <c r="G61" s="26"/>
      <c r="H61" s="26"/>
      <c r="I61" s="6" t="str">
        <f t="shared" si="40"/>
        <v/>
      </c>
      <c r="J61" s="6" t="str">
        <f t="shared" si="41"/>
        <v/>
      </c>
      <c r="K61" s="26"/>
      <c r="L61" s="53">
        <v>1</v>
      </c>
      <c r="M61" s="60" cm="1">
        <f t="array" ref="M61" xml:space="preserve">
_xlfn.LET(
_xlpm.Z, _xlfn._xlws.FILTER($DY$6:$EE$65,$DX$6:$DX$65=C61),
_xlpm.Q,_xlfn._xlws.FILTER($DP$6:$DV$65,$DO$6:$DO$65=C61),
IF($A61="x",SUMPRODUCT(_xlpm.Z,$DY$73:$EE$73,EH61:EN61),SUMPRODUCT(_xlpm.Q,$DP$73:$DV$73)))</f>
        <v>0</v>
      </c>
      <c r="N61" s="54" t="str" cm="1">
        <f t="array" ref="N61" xml:space="preserve">
_xlfn.LET(
_xlpm.Z, SUM(IF($A61="x",_xlfn._xlws.FILTER($M$6:$M$65,$A$6:$A$65="x"),_xlfn._xlws.FILTER($M$6:$M$65,$A$6:$A$65&lt;&gt;"x"))),
IF(_xlpm.Z&lt;&gt;0,M61/_xlpm.Z,""))</f>
        <v/>
      </c>
      <c r="O61" s="26"/>
      <c r="P61" s="53">
        <f t="shared" si="52"/>
        <v>1</v>
      </c>
      <c r="Q61" s="60" cm="1">
        <f t="array" ref="Q61" xml:space="preserve">
_xlfn.LET(
_xlpm.Z, _xlfn._xlws.FILTER($FA$6:$FG$65,$EZ$6:$EZ$65=C61),
_xlpm.Q,_xlfn._xlws.FILTER($ER$6:$EX$65,$EQ$6:$EQ$65=C61),
IF($A61="x",SUMPRODUCT(_xlpm.Z,$FA$73:$FG$73,FJ61:FP61),SUMPRODUCT(_xlpm.Q,$ER$73:$EX$73)))</f>
        <v>0</v>
      </c>
      <c r="R61" s="54" t="str" cm="1">
        <f t="array" ref="R61" xml:space="preserve">
_xlfn.LET(
_xlpm.Z, SUM(IF($A61="x",_xlfn._xlws.FILTER($Q$6:$Q$65,$A$6:$A$65="x"),_xlfn._xlws.FILTER($Q$6:$Q$65,$A$6:$A$65&lt;&gt;"x"))),
IF(_xlpm.Z&lt;&gt;0,Q61/_xlpm.Z,""))</f>
        <v/>
      </c>
      <c r="S61" s="26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8"/>
      <c r="AE61" s="28"/>
      <c r="AF61" s="23" t="str">
        <f t="shared" si="94"/>
        <v/>
      </c>
      <c r="AG61" s="23" t="str">
        <f t="shared" si="94"/>
        <v/>
      </c>
      <c r="AH61" s="23" t="str">
        <f t="shared" si="94"/>
        <v/>
      </c>
      <c r="AI61" s="23" t="str">
        <f t="shared" si="94"/>
        <v/>
      </c>
      <c r="AJ61" s="23" t="str">
        <f t="shared" si="94"/>
        <v/>
      </c>
      <c r="AK61" s="23" t="str">
        <f t="shared" si="94"/>
        <v/>
      </c>
      <c r="AL61" s="23" t="str">
        <f t="shared" si="94"/>
        <v/>
      </c>
      <c r="AM61" s="23" t="str">
        <f t="shared" si="94"/>
        <v/>
      </c>
      <c r="AN61" s="23" t="str">
        <f t="shared" si="94"/>
        <v/>
      </c>
      <c r="AO61" s="23" t="str">
        <f t="shared" si="94"/>
        <v/>
      </c>
      <c r="AP61" s="23" t="str">
        <f t="shared" si="95"/>
        <v/>
      </c>
      <c r="AQ61" s="23" t="str">
        <f t="shared" si="95"/>
        <v/>
      </c>
      <c r="AR61" s="23" t="str">
        <f t="shared" si="95"/>
        <v/>
      </c>
      <c r="AS61" s="23" t="str">
        <f t="shared" si="95"/>
        <v/>
      </c>
      <c r="AT61" s="23" t="str">
        <f t="shared" si="95"/>
        <v/>
      </c>
      <c r="AU61" s="23" t="str">
        <f t="shared" si="95"/>
        <v/>
      </c>
      <c r="AV61" s="23" t="str">
        <f t="shared" si="95"/>
        <v/>
      </c>
      <c r="AW61" s="23" t="str">
        <f t="shared" si="95"/>
        <v/>
      </c>
      <c r="AX61" s="23" t="str">
        <f t="shared" si="95"/>
        <v/>
      </c>
      <c r="AY61" s="23" t="str">
        <f t="shared" si="95"/>
        <v/>
      </c>
      <c r="AZ61" s="23" t="str">
        <f t="shared" si="96"/>
        <v/>
      </c>
      <c r="BA61" s="23" t="str">
        <f t="shared" si="96"/>
        <v/>
      </c>
      <c r="BB61" s="23" t="str">
        <f t="shared" si="96"/>
        <v/>
      </c>
      <c r="BC61" s="23" t="str">
        <f t="shared" si="96"/>
        <v/>
      </c>
      <c r="BD61" s="23" t="str">
        <f t="shared" si="96"/>
        <v/>
      </c>
      <c r="BE61" s="23" t="str">
        <f t="shared" si="96"/>
        <v/>
      </c>
      <c r="BF61" s="23" t="str">
        <f t="shared" si="96"/>
        <v/>
      </c>
      <c r="BG61" s="23" t="str">
        <f t="shared" si="96"/>
        <v/>
      </c>
      <c r="BH61" s="23" t="str">
        <f t="shared" si="96"/>
        <v/>
      </c>
      <c r="BI61" s="23" t="str">
        <f t="shared" si="96"/>
        <v/>
      </c>
      <c r="BJ61" s="23" t="str">
        <f t="shared" si="97"/>
        <v/>
      </c>
      <c r="BK61" s="23" t="str">
        <f t="shared" si="97"/>
        <v/>
      </c>
      <c r="BL61" s="23" t="str">
        <f t="shared" si="97"/>
        <v/>
      </c>
      <c r="BM61" s="23" t="str">
        <f t="shared" si="97"/>
        <v/>
      </c>
      <c r="BN61" s="23" t="str">
        <f t="shared" si="97"/>
        <v/>
      </c>
      <c r="BO61" s="23" t="str">
        <f t="shared" si="97"/>
        <v/>
      </c>
      <c r="BP61" s="23" t="str">
        <f t="shared" si="97"/>
        <v/>
      </c>
      <c r="BQ61" s="23" t="str">
        <f t="shared" si="97"/>
        <v/>
      </c>
      <c r="BR61" s="23" t="str">
        <f t="shared" si="97"/>
        <v/>
      </c>
      <c r="BS61" s="23" t="str">
        <f t="shared" si="97"/>
        <v/>
      </c>
      <c r="BT61" s="23" t="str">
        <f t="shared" si="98"/>
        <v/>
      </c>
      <c r="BU61" s="23" t="str">
        <f t="shared" si="98"/>
        <v/>
      </c>
      <c r="BV61" s="23" t="str">
        <f t="shared" si="98"/>
        <v/>
      </c>
      <c r="BW61" s="23" t="str">
        <f t="shared" si="98"/>
        <v/>
      </c>
      <c r="BX61" s="23" t="str">
        <f t="shared" si="98"/>
        <v/>
      </c>
      <c r="BY61" s="23" t="str">
        <f t="shared" si="98"/>
        <v/>
      </c>
      <c r="BZ61" s="23" t="str">
        <f t="shared" si="98"/>
        <v/>
      </c>
      <c r="CA61" s="23" t="str">
        <f t="shared" si="98"/>
        <v/>
      </c>
      <c r="CB61" s="23" t="str">
        <f t="shared" si="98"/>
        <v/>
      </c>
      <c r="CC61" s="23" t="str">
        <f t="shared" si="98"/>
        <v/>
      </c>
      <c r="CD61" s="23" t="str">
        <f t="shared" si="99"/>
        <v/>
      </c>
      <c r="CE61" s="23" t="str">
        <f t="shared" si="99"/>
        <v/>
      </c>
      <c r="CF61" s="23" t="str">
        <f t="shared" si="99"/>
        <v/>
      </c>
      <c r="CG61" s="23" t="str">
        <f t="shared" si="99"/>
        <v/>
      </c>
      <c r="CH61" s="23" t="str">
        <f t="shared" si="99"/>
        <v/>
      </c>
      <c r="CI61" s="23" t="str">
        <f t="shared" si="99"/>
        <v/>
      </c>
      <c r="CJ61" s="23" t="str">
        <f t="shared" si="99"/>
        <v/>
      </c>
      <c r="CK61" s="23" t="str">
        <f t="shared" si="99"/>
        <v/>
      </c>
      <c r="CL61" s="23" t="str">
        <f t="shared" si="99"/>
        <v/>
      </c>
      <c r="CM61" s="23" t="str">
        <f t="shared" si="99"/>
        <v/>
      </c>
      <c r="CN61" s="23" t="str">
        <f t="shared" si="100"/>
        <v/>
      </c>
      <c r="CO61" s="23" t="str">
        <f t="shared" si="100"/>
        <v/>
      </c>
      <c r="CP61" s="23" t="str">
        <f t="shared" si="100"/>
        <v/>
      </c>
      <c r="CQ61" s="23" t="str">
        <f t="shared" si="100"/>
        <v/>
      </c>
      <c r="CR61" s="23" t="str">
        <f t="shared" si="100"/>
        <v/>
      </c>
      <c r="CS61" s="23" t="str">
        <f t="shared" si="100"/>
        <v/>
      </c>
      <c r="CT61" s="23" t="str">
        <f t="shared" si="100"/>
        <v/>
      </c>
      <c r="CU61" s="23" t="str">
        <f t="shared" si="100"/>
        <v/>
      </c>
      <c r="CV61" s="23" t="str">
        <f t="shared" si="100"/>
        <v/>
      </c>
      <c r="CW61" s="23" t="str">
        <f t="shared" si="100"/>
        <v/>
      </c>
      <c r="CX61" s="23" t="str">
        <f t="shared" si="101"/>
        <v/>
      </c>
      <c r="CY61" s="23" t="str">
        <f t="shared" si="101"/>
        <v/>
      </c>
      <c r="CZ61" s="23" t="str">
        <f t="shared" si="101"/>
        <v/>
      </c>
      <c r="DA61" s="23" t="str">
        <f t="shared" si="101"/>
        <v/>
      </c>
      <c r="DB61" s="23" t="str">
        <f t="shared" si="101"/>
        <v/>
      </c>
      <c r="DC61" s="23" t="str">
        <f t="shared" si="101"/>
        <v/>
      </c>
      <c r="DD61" s="23" t="str">
        <f t="shared" si="101"/>
        <v/>
      </c>
      <c r="DE61" s="23" t="str">
        <f t="shared" si="101"/>
        <v/>
      </c>
      <c r="DF61" s="23" t="str">
        <f t="shared" si="101"/>
        <v/>
      </c>
      <c r="DG61" s="23" t="str">
        <f t="shared" si="101"/>
        <v/>
      </c>
      <c r="DH61" s="23" t="str">
        <f t="shared" si="101"/>
        <v/>
      </c>
      <c r="DI61" s="23" t="str">
        <f t="shared" si="101"/>
        <v/>
      </c>
      <c r="DJ61" s="23" t="str">
        <f t="shared" si="101"/>
        <v/>
      </c>
      <c r="DK61" s="23" t="str">
        <f t="shared" si="101"/>
        <v/>
      </c>
      <c r="DO61" s="61">
        <f t="shared" si="53"/>
        <v>56</v>
      </c>
      <c r="DP61" s="61">
        <f>IF($A61&lt;&gt;"x",$L61*SUMIFS($AF61:$DK61,$AF$4:$DK$4,Jahresscheiben!C$2),0)</f>
        <v>0</v>
      </c>
      <c r="DQ61" s="61">
        <f>IF($A61&lt;&gt;"x",$L61*SUMIFS($AF61:$DK61,$AF$4:$DK$4,Jahresscheiben!D$2),0)</f>
        <v>0</v>
      </c>
      <c r="DR61" s="61">
        <f>IF($A61&lt;&gt;"x",$L61*SUMIFS($AF61:$DK61,$AF$4:$DK$4,Jahresscheiben!E$2),0)</f>
        <v>0</v>
      </c>
      <c r="DS61" s="61">
        <f>IF($A61&lt;&gt;"x",$L61*SUMIFS($AF61:$DK61,$AF$4:$DK$4,Jahresscheiben!F$2),0)</f>
        <v>0</v>
      </c>
      <c r="DT61" s="61">
        <f>IF($A61&lt;&gt;"x",$L61*SUMIFS($AF61:$DK61,$AF$4:$DK$4,Jahresscheiben!G$2),0)</f>
        <v>0</v>
      </c>
      <c r="DU61" s="61">
        <f>IF($A61&lt;&gt;"x",$L61*SUMIFS($AF61:$DK61,$AF$4:$DK$4,Jahresscheiben!H$2),0)</f>
        <v>0</v>
      </c>
      <c r="DV61" s="61">
        <f>IF($A61&lt;&gt;"x",$L61*SUMIFS($AF61:$DK61,$AF$4:$DK$4,Jahresscheiben!I$2),0)</f>
        <v>0</v>
      </c>
      <c r="DW61" s="85"/>
      <c r="DX61" s="61">
        <f t="shared" si="54"/>
        <v>56</v>
      </c>
      <c r="DY61" s="85">
        <f>IF($A61="x",$L61*SUMIFS($AF61:$DK61,$AF$4:$DK$4,Jahresscheiben!C$2)/2,0)</f>
        <v>0</v>
      </c>
      <c r="DZ61" s="85">
        <f>IF($A61="x",$L61*SUMIFS($AF61:$DK61,$AF$4:$DK$4,Jahresscheiben!D$2)/2,0)</f>
        <v>0</v>
      </c>
      <c r="EA61" s="85">
        <f>IF($A61="x",$L61*SUMIFS($AF61:$DK61,$AF$4:$DK$4,Jahresscheiben!E$2)/2,0)</f>
        <v>0</v>
      </c>
      <c r="EB61" s="85">
        <f>IF($A61="x",$L61*SUMIFS($AF61:$DK61,$AF$4:$DK$4,Jahresscheiben!F$2)/2,0)</f>
        <v>0</v>
      </c>
      <c r="EC61" s="85">
        <f>IF($A61="x",$L61*SUMIFS($AF61:$DK61,$AF$4:$DK$4,Jahresscheiben!G$2)/2,0)</f>
        <v>0</v>
      </c>
      <c r="ED61" s="85">
        <f>IF($A61="x",$L61*SUMIFS($AF61:$DK61,$AF$4:$DK$4,Jahresscheiben!H$2)/2,0)</f>
        <v>0</v>
      </c>
      <c r="EE61" s="85">
        <f>IF($A61="x",$L61*SUMIFS($AF61:$DK61,$AF$4:$DK$4,Jahresscheiben!I$2)/2,0)</f>
        <v>0</v>
      </c>
      <c r="EF61" s="85"/>
      <c r="EG61" s="61">
        <f t="shared" si="55"/>
        <v>56</v>
      </c>
      <c r="EH61" s="85" cm="1">
        <f t="array" ref="EH6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61" s="85" cm="1">
        <f t="array" ref="EI6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61" s="85" cm="1">
        <f t="array" ref="EJ6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61" s="85" cm="1">
        <f t="array" ref="EK6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61" s="85" cm="1">
        <f t="array" ref="EL6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61" s="85" cm="1">
        <f t="array" ref="EM6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61" s="85" cm="1">
        <f t="array" ref="EN6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61" s="85"/>
      <c r="EQ61" s="61">
        <f t="shared" si="56"/>
        <v>56</v>
      </c>
      <c r="ER61" s="62">
        <f>IF($A61&lt;&gt;"x",$P61*SUMIFS($AF61:$DK61,$AF$4:$DK$4,Jahresscheiben!C$2),0)</f>
        <v>0</v>
      </c>
      <c r="ES61" s="62">
        <f>IF($A61&lt;&gt;"x",$P61*SUMIFS($AF61:$DK61,$AF$4:$DK$4,Jahresscheiben!D$2),0)</f>
        <v>0</v>
      </c>
      <c r="ET61" s="62">
        <f>IF($A61&lt;&gt;"x",$P61*SUMIFS($AF61:$DK61,$AF$4:$DK$4,Jahresscheiben!E$2),0)</f>
        <v>0</v>
      </c>
      <c r="EU61" s="62">
        <f>IF($A61&lt;&gt;"x",$P61*SUMIFS($AF61:$DK61,$AF$4:$DK$4,Jahresscheiben!F$2),0)</f>
        <v>0</v>
      </c>
      <c r="EV61" s="62">
        <f>IF($A61&lt;&gt;"x",$P61*SUMIFS($AF61:$DK61,$AF$4:$DK$4,Jahresscheiben!G$2),0)</f>
        <v>0</v>
      </c>
      <c r="EW61" s="62">
        <f>IF($A61&lt;&gt;"x",$P61*SUMIFS($AF61:$DK61,$AF$4:$DK$4,Jahresscheiben!H$2),0)</f>
        <v>0</v>
      </c>
      <c r="EX61" s="62">
        <f>IF($A61&lt;&gt;"x",$P61*SUMIFS($AF61:$DK61,$AF$4:$DK$4,Jahresscheiben!I$2),0)</f>
        <v>0</v>
      </c>
      <c r="EY61" s="85"/>
      <c r="EZ61" s="61">
        <f t="shared" si="57"/>
        <v>56</v>
      </c>
      <c r="FA61" s="85">
        <f>IF($A61="x",$P61*SUMIFS($AF61:$DK61,$AF$4:$DK$4,Jahresscheiben!C$2)/2,0)</f>
        <v>0</v>
      </c>
      <c r="FB61" s="85">
        <f>IF($A61="x",$P61*SUMIFS($AF61:$DK61,$AF$4:$DK$4,Jahresscheiben!D$2)/2,0)</f>
        <v>0</v>
      </c>
      <c r="FC61" s="85">
        <f>IF($A61="x",$P61*SUMIFS($AF61:$DK61,$AF$4:$DK$4,Jahresscheiben!E$2)/2,0)</f>
        <v>0</v>
      </c>
      <c r="FD61" s="85">
        <f>IF($A61="x",$P61*SUMIFS($AF61:$DK61,$AF$4:$DK$4,Jahresscheiben!F$2)/2,0)</f>
        <v>0</v>
      </c>
      <c r="FE61" s="85">
        <f>IF($A61="x",$P61*SUMIFS($AF61:$DK61,$AF$4:$DK$4,Jahresscheiben!G$2)/2,0)</f>
        <v>0</v>
      </c>
      <c r="FF61" s="85">
        <f>IF($A61="x",$P61*SUMIFS($AF61:$DK61,$AF$4:$DK$4,Jahresscheiben!H$2)/2,0)</f>
        <v>0</v>
      </c>
      <c r="FG61" s="85">
        <f>IF($A61="x",$P61*SUMIFS($AF61:$DK61,$AF$4:$DK$4,Jahresscheiben!I$2)/2,0)</f>
        <v>0</v>
      </c>
      <c r="FH61" s="85"/>
      <c r="FI61" s="61">
        <f t="shared" si="58"/>
        <v>56</v>
      </c>
      <c r="FJ61" s="85" cm="1">
        <f t="array" ref="FJ6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61" s="85" cm="1">
        <f t="array" ref="FK6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61" s="85" cm="1">
        <f t="array" ref="FL6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61" s="85" cm="1">
        <f t="array" ref="FM6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61" s="85" cm="1">
        <f t="array" ref="FN6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61" s="85" cm="1">
        <f t="array" ref="FO6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61" s="85" cm="1">
        <f t="array" ref="FP61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62" spans="1:172" ht="17" hidden="1" customHeight="1" thickBot="1" x14ac:dyDescent="0.55000000000000004">
      <c r="A62" s="30" t="s">
        <v>24</v>
      </c>
      <c r="B62" s="31">
        <f t="shared" si="50"/>
        <v>0</v>
      </c>
      <c r="C62" s="22">
        <f t="shared" si="51"/>
        <v>57</v>
      </c>
      <c r="D62" s="8"/>
      <c r="E62" s="7"/>
      <c r="F62" s="7"/>
      <c r="G62" s="7"/>
      <c r="H62" s="7"/>
      <c r="I62" s="6" t="str">
        <f t="shared" si="40"/>
        <v/>
      </c>
      <c r="J62" s="6" t="str">
        <f t="shared" si="41"/>
        <v/>
      </c>
      <c r="K62" s="7"/>
      <c r="L62" s="53">
        <v>1</v>
      </c>
      <c r="M62" s="60" cm="1">
        <f t="array" ref="M62" xml:space="preserve">
_xlfn.LET(
_xlpm.Z, _xlfn._xlws.FILTER($DY$6:$EE$65,$DX$6:$DX$65=C62),
_xlpm.Q,_xlfn._xlws.FILTER($DP$6:$DV$65,$DO$6:$DO$65=C62),
IF($A62="x",SUMPRODUCT(_xlpm.Z,$DY$73:$EE$73,EH62:EN62),SUMPRODUCT(_xlpm.Q,$DP$73:$DV$73)))</f>
        <v>0</v>
      </c>
      <c r="N62" s="54" t="str" cm="1">
        <f t="array" ref="N62" xml:space="preserve">
_xlfn.LET(
_xlpm.Z, SUM(IF($A62="x",_xlfn._xlws.FILTER($M$6:$M$65,$A$6:$A$65="x"),_xlfn._xlws.FILTER($M$6:$M$65,$A$6:$A$65&lt;&gt;"x"))),
IF(_xlpm.Z&lt;&gt;0,M62/_xlpm.Z,""))</f>
        <v/>
      </c>
      <c r="O62" s="7"/>
      <c r="P62" s="53">
        <f t="shared" si="52"/>
        <v>1</v>
      </c>
      <c r="Q62" s="60" cm="1">
        <f t="array" ref="Q62" xml:space="preserve">
_xlfn.LET(
_xlpm.Z, _xlfn._xlws.FILTER($FA$6:$FG$65,$EZ$6:$EZ$65=C62),
_xlpm.Q,_xlfn._xlws.FILTER($ER$6:$EX$65,$EQ$6:$EQ$65=C62),
IF($A62="x",SUMPRODUCT(_xlpm.Z,$FA$73:$FG$73,FJ62:FP62),SUMPRODUCT(_xlpm.Q,$ER$73:$EX$73)))</f>
        <v>0</v>
      </c>
      <c r="R62" s="54" t="str" cm="1">
        <f t="array" ref="R62" xml:space="preserve">
_xlfn.LET(
_xlpm.Z, SUM(IF($A62="x",_xlfn._xlws.FILTER($Q$6:$Q$65,$A$6:$A$65="x"),_xlfn._xlws.FILTER($Q$6:$Q$65,$A$6:$A$65&lt;&gt;"x"))),
IF(_xlpm.Z&lt;&gt;0,Q62/_xlpm.Z,""))</f>
        <v/>
      </c>
      <c r="S62" s="7"/>
      <c r="T62" s="6"/>
      <c r="U62" s="6"/>
      <c r="V62" s="6"/>
      <c r="W62" s="6"/>
      <c r="X62" s="6"/>
      <c r="Y62" s="6"/>
      <c r="Z62" s="6"/>
      <c r="AA62" s="6"/>
      <c r="AB62" s="6"/>
      <c r="AC62" s="6"/>
      <c r="AD62" s="7"/>
      <c r="AE62" s="7"/>
      <c r="AF62" s="23" t="str">
        <f t="shared" si="94"/>
        <v/>
      </c>
      <c r="AG62" s="23" t="str">
        <f t="shared" si="94"/>
        <v/>
      </c>
      <c r="AH62" s="23" t="str">
        <f t="shared" si="94"/>
        <v/>
      </c>
      <c r="AI62" s="23" t="str">
        <f t="shared" si="94"/>
        <v/>
      </c>
      <c r="AJ62" s="23" t="str">
        <f t="shared" si="94"/>
        <v/>
      </c>
      <c r="AK62" s="23" t="str">
        <f t="shared" si="94"/>
        <v/>
      </c>
      <c r="AL62" s="23" t="str">
        <f t="shared" si="94"/>
        <v/>
      </c>
      <c r="AM62" s="23" t="str">
        <f t="shared" si="94"/>
        <v/>
      </c>
      <c r="AN62" s="23" t="str">
        <f t="shared" si="94"/>
        <v/>
      </c>
      <c r="AO62" s="23" t="str">
        <f t="shared" si="94"/>
        <v/>
      </c>
      <c r="AP62" s="23" t="str">
        <f t="shared" si="95"/>
        <v/>
      </c>
      <c r="AQ62" s="23" t="str">
        <f t="shared" si="95"/>
        <v/>
      </c>
      <c r="AR62" s="23" t="str">
        <f t="shared" si="95"/>
        <v/>
      </c>
      <c r="AS62" s="23" t="str">
        <f t="shared" si="95"/>
        <v/>
      </c>
      <c r="AT62" s="23" t="str">
        <f t="shared" si="95"/>
        <v/>
      </c>
      <c r="AU62" s="23" t="str">
        <f t="shared" si="95"/>
        <v/>
      </c>
      <c r="AV62" s="23" t="str">
        <f t="shared" si="95"/>
        <v/>
      </c>
      <c r="AW62" s="23" t="str">
        <f t="shared" si="95"/>
        <v/>
      </c>
      <c r="AX62" s="23" t="str">
        <f t="shared" si="95"/>
        <v/>
      </c>
      <c r="AY62" s="23" t="str">
        <f t="shared" si="95"/>
        <v/>
      </c>
      <c r="AZ62" s="23" t="str">
        <f t="shared" si="96"/>
        <v/>
      </c>
      <c r="BA62" s="23" t="str">
        <f t="shared" si="96"/>
        <v/>
      </c>
      <c r="BB62" s="23" t="str">
        <f t="shared" si="96"/>
        <v/>
      </c>
      <c r="BC62" s="23" t="str">
        <f t="shared" si="96"/>
        <v/>
      </c>
      <c r="BD62" s="23" t="str">
        <f t="shared" si="96"/>
        <v/>
      </c>
      <c r="BE62" s="23" t="str">
        <f t="shared" si="96"/>
        <v/>
      </c>
      <c r="BF62" s="23" t="str">
        <f t="shared" si="96"/>
        <v/>
      </c>
      <c r="BG62" s="23" t="str">
        <f t="shared" si="96"/>
        <v/>
      </c>
      <c r="BH62" s="23" t="str">
        <f t="shared" si="96"/>
        <v/>
      </c>
      <c r="BI62" s="23" t="str">
        <f t="shared" si="96"/>
        <v/>
      </c>
      <c r="BJ62" s="23" t="str">
        <f t="shared" si="97"/>
        <v/>
      </c>
      <c r="BK62" s="23" t="str">
        <f t="shared" si="97"/>
        <v/>
      </c>
      <c r="BL62" s="23" t="str">
        <f t="shared" si="97"/>
        <v/>
      </c>
      <c r="BM62" s="23" t="str">
        <f t="shared" si="97"/>
        <v/>
      </c>
      <c r="BN62" s="23" t="str">
        <f t="shared" si="97"/>
        <v/>
      </c>
      <c r="BO62" s="23" t="str">
        <f t="shared" si="97"/>
        <v/>
      </c>
      <c r="BP62" s="23" t="str">
        <f t="shared" si="97"/>
        <v/>
      </c>
      <c r="BQ62" s="23" t="str">
        <f t="shared" si="97"/>
        <v/>
      </c>
      <c r="BR62" s="23" t="str">
        <f t="shared" si="97"/>
        <v/>
      </c>
      <c r="BS62" s="23" t="str">
        <f t="shared" si="97"/>
        <v/>
      </c>
      <c r="BT62" s="23" t="str">
        <f t="shared" si="98"/>
        <v/>
      </c>
      <c r="BU62" s="23" t="str">
        <f t="shared" si="98"/>
        <v/>
      </c>
      <c r="BV62" s="23" t="str">
        <f t="shared" si="98"/>
        <v/>
      </c>
      <c r="BW62" s="23" t="str">
        <f t="shared" si="98"/>
        <v/>
      </c>
      <c r="BX62" s="23" t="str">
        <f t="shared" si="98"/>
        <v/>
      </c>
      <c r="BY62" s="23" t="str">
        <f t="shared" si="98"/>
        <v/>
      </c>
      <c r="BZ62" s="23" t="str">
        <f t="shared" si="98"/>
        <v/>
      </c>
      <c r="CA62" s="23" t="str">
        <f t="shared" si="98"/>
        <v/>
      </c>
      <c r="CB62" s="23" t="str">
        <f t="shared" si="98"/>
        <v/>
      </c>
      <c r="CC62" s="23" t="str">
        <f t="shared" si="98"/>
        <v/>
      </c>
      <c r="CD62" s="23" t="str">
        <f t="shared" si="99"/>
        <v/>
      </c>
      <c r="CE62" s="23" t="str">
        <f t="shared" si="99"/>
        <v/>
      </c>
      <c r="CF62" s="23" t="str">
        <f t="shared" si="99"/>
        <v/>
      </c>
      <c r="CG62" s="23" t="str">
        <f t="shared" si="99"/>
        <v/>
      </c>
      <c r="CH62" s="23" t="str">
        <f t="shared" si="99"/>
        <v/>
      </c>
      <c r="CI62" s="23" t="str">
        <f t="shared" si="99"/>
        <v/>
      </c>
      <c r="CJ62" s="23" t="str">
        <f t="shared" si="99"/>
        <v/>
      </c>
      <c r="CK62" s="23" t="str">
        <f t="shared" si="99"/>
        <v/>
      </c>
      <c r="CL62" s="23" t="str">
        <f t="shared" si="99"/>
        <v/>
      </c>
      <c r="CM62" s="23" t="str">
        <f t="shared" si="99"/>
        <v/>
      </c>
      <c r="CN62" s="23" t="str">
        <f t="shared" si="100"/>
        <v/>
      </c>
      <c r="CO62" s="23" t="str">
        <f t="shared" si="100"/>
        <v/>
      </c>
      <c r="CP62" s="23" t="str">
        <f t="shared" si="100"/>
        <v/>
      </c>
      <c r="CQ62" s="23" t="str">
        <f t="shared" si="100"/>
        <v/>
      </c>
      <c r="CR62" s="23" t="str">
        <f t="shared" si="100"/>
        <v/>
      </c>
      <c r="CS62" s="23" t="str">
        <f t="shared" si="100"/>
        <v/>
      </c>
      <c r="CT62" s="23" t="str">
        <f t="shared" si="100"/>
        <v/>
      </c>
      <c r="CU62" s="23" t="str">
        <f t="shared" si="100"/>
        <v/>
      </c>
      <c r="CV62" s="23" t="str">
        <f t="shared" si="100"/>
        <v/>
      </c>
      <c r="CW62" s="23" t="str">
        <f t="shared" si="100"/>
        <v/>
      </c>
      <c r="CX62" s="23" t="str">
        <f t="shared" si="101"/>
        <v/>
      </c>
      <c r="CY62" s="23" t="str">
        <f t="shared" si="101"/>
        <v/>
      </c>
      <c r="CZ62" s="23" t="str">
        <f t="shared" si="101"/>
        <v/>
      </c>
      <c r="DA62" s="23" t="str">
        <f t="shared" si="101"/>
        <v/>
      </c>
      <c r="DB62" s="23" t="str">
        <f t="shared" si="101"/>
        <v/>
      </c>
      <c r="DC62" s="23" t="str">
        <f t="shared" si="101"/>
        <v/>
      </c>
      <c r="DD62" s="23" t="str">
        <f t="shared" si="101"/>
        <v/>
      </c>
      <c r="DE62" s="23" t="str">
        <f t="shared" si="101"/>
        <v/>
      </c>
      <c r="DF62" s="23" t="str">
        <f t="shared" si="101"/>
        <v/>
      </c>
      <c r="DG62" s="23" t="str">
        <f t="shared" si="101"/>
        <v/>
      </c>
      <c r="DH62" s="23" t="str">
        <f t="shared" si="101"/>
        <v/>
      </c>
      <c r="DI62" s="23" t="str">
        <f t="shared" si="101"/>
        <v/>
      </c>
      <c r="DJ62" s="23" t="str">
        <f t="shared" si="101"/>
        <v/>
      </c>
      <c r="DK62" s="23" t="str">
        <f t="shared" si="101"/>
        <v/>
      </c>
      <c r="DO62" s="61">
        <f t="shared" si="53"/>
        <v>57</v>
      </c>
      <c r="DP62" s="61">
        <f>IF($A62&lt;&gt;"x",$L62*SUMIFS($AF62:$DK62,$AF$4:$DK$4,Jahresscheiben!C$2),0)</f>
        <v>0</v>
      </c>
      <c r="DQ62" s="61">
        <f>IF($A62&lt;&gt;"x",$L62*SUMIFS($AF62:$DK62,$AF$4:$DK$4,Jahresscheiben!D$2),0)</f>
        <v>0</v>
      </c>
      <c r="DR62" s="61">
        <f>IF($A62&lt;&gt;"x",$L62*SUMIFS($AF62:$DK62,$AF$4:$DK$4,Jahresscheiben!E$2),0)</f>
        <v>0</v>
      </c>
      <c r="DS62" s="61">
        <f>IF($A62&lt;&gt;"x",$L62*SUMIFS($AF62:$DK62,$AF$4:$DK$4,Jahresscheiben!F$2),0)</f>
        <v>0</v>
      </c>
      <c r="DT62" s="61">
        <f>IF($A62&lt;&gt;"x",$L62*SUMIFS($AF62:$DK62,$AF$4:$DK$4,Jahresscheiben!G$2),0)</f>
        <v>0</v>
      </c>
      <c r="DU62" s="61">
        <f>IF($A62&lt;&gt;"x",$L62*SUMIFS($AF62:$DK62,$AF$4:$DK$4,Jahresscheiben!H$2),0)</f>
        <v>0</v>
      </c>
      <c r="DV62" s="61">
        <f>IF($A62&lt;&gt;"x",$L62*SUMIFS($AF62:$DK62,$AF$4:$DK$4,Jahresscheiben!I$2),0)</f>
        <v>0</v>
      </c>
      <c r="DW62" s="85"/>
      <c r="DX62" s="61">
        <f t="shared" si="54"/>
        <v>57</v>
      </c>
      <c r="DY62" s="85">
        <f>IF($A62="x",$L62*SUMIFS($AF62:$DK62,$AF$4:$DK$4,Jahresscheiben!C$2)/2,0)</f>
        <v>0</v>
      </c>
      <c r="DZ62" s="85">
        <f>IF($A62="x",$L62*SUMIFS($AF62:$DK62,$AF$4:$DK$4,Jahresscheiben!D$2)/2,0)</f>
        <v>0</v>
      </c>
      <c r="EA62" s="85">
        <f>IF($A62="x",$L62*SUMIFS($AF62:$DK62,$AF$4:$DK$4,Jahresscheiben!E$2)/2,0)</f>
        <v>0</v>
      </c>
      <c r="EB62" s="85">
        <f>IF($A62="x",$L62*SUMIFS($AF62:$DK62,$AF$4:$DK$4,Jahresscheiben!F$2)/2,0)</f>
        <v>0</v>
      </c>
      <c r="EC62" s="85">
        <f>IF($A62="x",$L62*SUMIFS($AF62:$DK62,$AF$4:$DK$4,Jahresscheiben!G$2)/2,0)</f>
        <v>0</v>
      </c>
      <c r="ED62" s="85">
        <f>IF($A62="x",$L62*SUMIFS($AF62:$DK62,$AF$4:$DK$4,Jahresscheiben!H$2)/2,0)</f>
        <v>0</v>
      </c>
      <c r="EE62" s="85">
        <f>IF($A62="x",$L62*SUMIFS($AF62:$DK62,$AF$4:$DK$4,Jahresscheiben!I$2)/2,0)</f>
        <v>0</v>
      </c>
      <c r="EF62" s="85"/>
      <c r="EG62" s="61">
        <f t="shared" si="55"/>
        <v>57</v>
      </c>
      <c r="EH62" s="85" cm="1">
        <f t="array" ref="EH6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62" s="85" cm="1">
        <f t="array" ref="EI6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62" s="85" cm="1">
        <f t="array" ref="EJ6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62" s="85" cm="1">
        <f t="array" ref="EK6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62" s="85" cm="1">
        <f t="array" ref="EL6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62" s="85" cm="1">
        <f t="array" ref="EM6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62" s="85" cm="1">
        <f t="array" ref="EN6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62" s="85"/>
      <c r="EQ62" s="61">
        <f t="shared" si="56"/>
        <v>57</v>
      </c>
      <c r="ER62" s="62">
        <f>IF($A62&lt;&gt;"x",$P62*SUMIFS($AF62:$DK62,$AF$4:$DK$4,Jahresscheiben!C$2),0)</f>
        <v>0</v>
      </c>
      <c r="ES62" s="62">
        <f>IF($A62&lt;&gt;"x",$P62*SUMIFS($AF62:$DK62,$AF$4:$DK$4,Jahresscheiben!D$2),0)</f>
        <v>0</v>
      </c>
      <c r="ET62" s="62">
        <f>IF($A62&lt;&gt;"x",$P62*SUMIFS($AF62:$DK62,$AF$4:$DK$4,Jahresscheiben!E$2),0)</f>
        <v>0</v>
      </c>
      <c r="EU62" s="62">
        <f>IF($A62&lt;&gt;"x",$P62*SUMIFS($AF62:$DK62,$AF$4:$DK$4,Jahresscheiben!F$2),0)</f>
        <v>0</v>
      </c>
      <c r="EV62" s="62">
        <f>IF($A62&lt;&gt;"x",$P62*SUMIFS($AF62:$DK62,$AF$4:$DK$4,Jahresscheiben!G$2),0)</f>
        <v>0</v>
      </c>
      <c r="EW62" s="62">
        <f>IF($A62&lt;&gt;"x",$P62*SUMIFS($AF62:$DK62,$AF$4:$DK$4,Jahresscheiben!H$2),0)</f>
        <v>0</v>
      </c>
      <c r="EX62" s="62">
        <f>IF($A62&lt;&gt;"x",$P62*SUMIFS($AF62:$DK62,$AF$4:$DK$4,Jahresscheiben!I$2),0)</f>
        <v>0</v>
      </c>
      <c r="EY62" s="85"/>
      <c r="EZ62" s="61">
        <f t="shared" si="57"/>
        <v>57</v>
      </c>
      <c r="FA62" s="85">
        <f>IF($A62="x",$P62*SUMIFS($AF62:$DK62,$AF$4:$DK$4,Jahresscheiben!C$2)/2,0)</f>
        <v>0</v>
      </c>
      <c r="FB62" s="85">
        <f>IF($A62="x",$P62*SUMIFS($AF62:$DK62,$AF$4:$DK$4,Jahresscheiben!D$2)/2,0)</f>
        <v>0</v>
      </c>
      <c r="FC62" s="85">
        <f>IF($A62="x",$P62*SUMIFS($AF62:$DK62,$AF$4:$DK$4,Jahresscheiben!E$2)/2,0)</f>
        <v>0</v>
      </c>
      <c r="FD62" s="85">
        <f>IF($A62="x",$P62*SUMIFS($AF62:$DK62,$AF$4:$DK$4,Jahresscheiben!F$2)/2,0)</f>
        <v>0</v>
      </c>
      <c r="FE62" s="85">
        <f>IF($A62="x",$P62*SUMIFS($AF62:$DK62,$AF$4:$DK$4,Jahresscheiben!G$2)/2,0)</f>
        <v>0</v>
      </c>
      <c r="FF62" s="85">
        <f>IF($A62="x",$P62*SUMIFS($AF62:$DK62,$AF$4:$DK$4,Jahresscheiben!H$2)/2,0)</f>
        <v>0</v>
      </c>
      <c r="FG62" s="85">
        <f>IF($A62="x",$P62*SUMIFS($AF62:$DK62,$AF$4:$DK$4,Jahresscheiben!I$2)/2,0)</f>
        <v>0</v>
      </c>
      <c r="FH62" s="85"/>
      <c r="FI62" s="61">
        <f t="shared" si="58"/>
        <v>57</v>
      </c>
      <c r="FJ62" s="85" cm="1">
        <f t="array" ref="FJ6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62" s="85" cm="1">
        <f t="array" ref="FK6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62" s="85" cm="1">
        <f t="array" ref="FL6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62" s="85" cm="1">
        <f t="array" ref="FM6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62" s="85" cm="1">
        <f t="array" ref="FN6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62" s="85" cm="1">
        <f t="array" ref="FO6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62" s="85" cm="1">
        <f t="array" ref="FP62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63" spans="1:172" ht="17" hidden="1" customHeight="1" thickBot="1" x14ac:dyDescent="0.55000000000000004">
      <c r="A63" s="30" t="s">
        <v>24</v>
      </c>
      <c r="B63" s="31">
        <f t="shared" si="50"/>
        <v>0</v>
      </c>
      <c r="C63" s="22">
        <f t="shared" si="51"/>
        <v>58</v>
      </c>
      <c r="D63" s="25"/>
      <c r="E63" s="26"/>
      <c r="F63" s="26"/>
      <c r="G63" s="26"/>
      <c r="H63" s="26"/>
      <c r="I63" s="6" t="str">
        <f t="shared" si="40"/>
        <v/>
      </c>
      <c r="J63" s="6" t="str">
        <f t="shared" si="41"/>
        <v/>
      </c>
      <c r="K63" s="26"/>
      <c r="L63" s="53">
        <v>1</v>
      </c>
      <c r="M63" s="60" cm="1">
        <f t="array" ref="M63" xml:space="preserve">
_xlfn.LET(
_xlpm.Z, _xlfn._xlws.FILTER($DY$6:$EE$65,$DX$6:$DX$65=C63),
_xlpm.Q,_xlfn._xlws.FILTER($DP$6:$DV$65,$DO$6:$DO$65=C63),
IF($A63="x",SUMPRODUCT(_xlpm.Z,$DY$73:$EE$73,EH63:EN63),SUMPRODUCT(_xlpm.Q,$DP$73:$DV$73)))</f>
        <v>0</v>
      </c>
      <c r="N63" s="54" t="str" cm="1">
        <f t="array" ref="N63" xml:space="preserve">
_xlfn.LET(
_xlpm.Z, SUM(IF($A63="x",_xlfn._xlws.FILTER($M$6:$M$65,$A$6:$A$65="x"),_xlfn._xlws.FILTER($M$6:$M$65,$A$6:$A$65&lt;&gt;"x"))),
IF(_xlpm.Z&lt;&gt;0,M63/_xlpm.Z,""))</f>
        <v/>
      </c>
      <c r="O63" s="26"/>
      <c r="P63" s="53">
        <f t="shared" si="52"/>
        <v>1</v>
      </c>
      <c r="Q63" s="60" cm="1">
        <f t="array" ref="Q63" xml:space="preserve">
_xlfn.LET(
_xlpm.Z, _xlfn._xlws.FILTER($FA$6:$FG$65,$EZ$6:$EZ$65=C63),
_xlpm.Q,_xlfn._xlws.FILTER($ER$6:$EX$65,$EQ$6:$EQ$65=C63),
IF($A63="x",SUMPRODUCT(_xlpm.Z,$FA$73:$FG$73,FJ63:FP63),SUMPRODUCT(_xlpm.Q,$ER$73:$EX$73)))</f>
        <v>0</v>
      </c>
      <c r="R63" s="54" t="str" cm="1">
        <f t="array" ref="R63" xml:space="preserve">
_xlfn.LET(
_xlpm.Z, SUM(IF($A63="x",_xlfn._xlws.FILTER($Q$6:$Q$65,$A$6:$A$65="x"),_xlfn._xlws.FILTER($Q$6:$Q$65,$A$6:$A$65&lt;&gt;"x"))),
IF(_xlpm.Z&lt;&gt;0,Q63/_xlpm.Z,""))</f>
        <v/>
      </c>
      <c r="S63" s="26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8"/>
      <c r="AE63" s="28"/>
      <c r="AF63" s="23" t="str">
        <f t="shared" si="94"/>
        <v/>
      </c>
      <c r="AG63" s="23" t="str">
        <f t="shared" si="94"/>
        <v/>
      </c>
      <c r="AH63" s="23" t="str">
        <f t="shared" si="94"/>
        <v/>
      </c>
      <c r="AI63" s="23" t="str">
        <f t="shared" si="94"/>
        <v/>
      </c>
      <c r="AJ63" s="23" t="str">
        <f t="shared" si="94"/>
        <v/>
      </c>
      <c r="AK63" s="23" t="str">
        <f t="shared" si="94"/>
        <v/>
      </c>
      <c r="AL63" s="23" t="str">
        <f t="shared" si="94"/>
        <v/>
      </c>
      <c r="AM63" s="23" t="str">
        <f t="shared" si="94"/>
        <v/>
      </c>
      <c r="AN63" s="23" t="str">
        <f t="shared" si="94"/>
        <v/>
      </c>
      <c r="AO63" s="23" t="str">
        <f t="shared" si="94"/>
        <v/>
      </c>
      <c r="AP63" s="23" t="str">
        <f t="shared" si="95"/>
        <v/>
      </c>
      <c r="AQ63" s="23" t="str">
        <f t="shared" si="95"/>
        <v/>
      </c>
      <c r="AR63" s="23" t="str">
        <f t="shared" si="95"/>
        <v/>
      </c>
      <c r="AS63" s="23" t="str">
        <f t="shared" si="95"/>
        <v/>
      </c>
      <c r="AT63" s="23" t="str">
        <f t="shared" si="95"/>
        <v/>
      </c>
      <c r="AU63" s="23" t="str">
        <f t="shared" si="95"/>
        <v/>
      </c>
      <c r="AV63" s="23" t="str">
        <f t="shared" si="95"/>
        <v/>
      </c>
      <c r="AW63" s="23" t="str">
        <f t="shared" si="95"/>
        <v/>
      </c>
      <c r="AX63" s="23" t="str">
        <f t="shared" si="95"/>
        <v/>
      </c>
      <c r="AY63" s="23" t="str">
        <f t="shared" si="95"/>
        <v/>
      </c>
      <c r="AZ63" s="23" t="str">
        <f t="shared" si="96"/>
        <v/>
      </c>
      <c r="BA63" s="23" t="str">
        <f t="shared" si="96"/>
        <v/>
      </c>
      <c r="BB63" s="23" t="str">
        <f t="shared" si="96"/>
        <v/>
      </c>
      <c r="BC63" s="23" t="str">
        <f t="shared" si="96"/>
        <v/>
      </c>
      <c r="BD63" s="23" t="str">
        <f t="shared" si="96"/>
        <v/>
      </c>
      <c r="BE63" s="23" t="str">
        <f t="shared" si="96"/>
        <v/>
      </c>
      <c r="BF63" s="23" t="str">
        <f t="shared" si="96"/>
        <v/>
      </c>
      <c r="BG63" s="23" t="str">
        <f t="shared" si="96"/>
        <v/>
      </c>
      <c r="BH63" s="23" t="str">
        <f t="shared" si="96"/>
        <v/>
      </c>
      <c r="BI63" s="23" t="str">
        <f t="shared" si="96"/>
        <v/>
      </c>
      <c r="BJ63" s="23" t="str">
        <f t="shared" si="97"/>
        <v/>
      </c>
      <c r="BK63" s="23" t="str">
        <f t="shared" si="97"/>
        <v/>
      </c>
      <c r="BL63" s="23" t="str">
        <f t="shared" si="97"/>
        <v/>
      </c>
      <c r="BM63" s="23" t="str">
        <f t="shared" si="97"/>
        <v/>
      </c>
      <c r="BN63" s="23" t="str">
        <f t="shared" si="97"/>
        <v/>
      </c>
      <c r="BO63" s="23" t="str">
        <f t="shared" si="97"/>
        <v/>
      </c>
      <c r="BP63" s="23" t="str">
        <f t="shared" si="97"/>
        <v/>
      </c>
      <c r="BQ63" s="23" t="str">
        <f t="shared" si="97"/>
        <v/>
      </c>
      <c r="BR63" s="23" t="str">
        <f t="shared" si="97"/>
        <v/>
      </c>
      <c r="BS63" s="23" t="str">
        <f t="shared" si="97"/>
        <v/>
      </c>
      <c r="BT63" s="23" t="str">
        <f t="shared" si="98"/>
        <v/>
      </c>
      <c r="BU63" s="23" t="str">
        <f t="shared" si="98"/>
        <v/>
      </c>
      <c r="BV63" s="23" t="str">
        <f t="shared" si="98"/>
        <v/>
      </c>
      <c r="BW63" s="23" t="str">
        <f t="shared" si="98"/>
        <v/>
      </c>
      <c r="BX63" s="23" t="str">
        <f t="shared" si="98"/>
        <v/>
      </c>
      <c r="BY63" s="23" t="str">
        <f t="shared" si="98"/>
        <v/>
      </c>
      <c r="BZ63" s="23" t="str">
        <f t="shared" si="98"/>
        <v/>
      </c>
      <c r="CA63" s="23" t="str">
        <f t="shared" si="98"/>
        <v/>
      </c>
      <c r="CB63" s="23" t="str">
        <f t="shared" si="98"/>
        <v/>
      </c>
      <c r="CC63" s="23" t="str">
        <f t="shared" si="98"/>
        <v/>
      </c>
      <c r="CD63" s="23" t="str">
        <f t="shared" si="99"/>
        <v/>
      </c>
      <c r="CE63" s="23" t="str">
        <f t="shared" si="99"/>
        <v/>
      </c>
      <c r="CF63" s="23" t="str">
        <f t="shared" si="99"/>
        <v/>
      </c>
      <c r="CG63" s="23" t="str">
        <f t="shared" si="99"/>
        <v/>
      </c>
      <c r="CH63" s="23" t="str">
        <f t="shared" si="99"/>
        <v/>
      </c>
      <c r="CI63" s="23" t="str">
        <f t="shared" si="99"/>
        <v/>
      </c>
      <c r="CJ63" s="23" t="str">
        <f t="shared" si="99"/>
        <v/>
      </c>
      <c r="CK63" s="23" t="str">
        <f t="shared" si="99"/>
        <v/>
      </c>
      <c r="CL63" s="23" t="str">
        <f t="shared" si="99"/>
        <v/>
      </c>
      <c r="CM63" s="23" t="str">
        <f t="shared" si="99"/>
        <v/>
      </c>
      <c r="CN63" s="23" t="str">
        <f t="shared" si="100"/>
        <v/>
      </c>
      <c r="CO63" s="23" t="str">
        <f t="shared" si="100"/>
        <v/>
      </c>
      <c r="CP63" s="23" t="str">
        <f t="shared" si="100"/>
        <v/>
      </c>
      <c r="CQ63" s="23" t="str">
        <f t="shared" si="100"/>
        <v/>
      </c>
      <c r="CR63" s="23" t="str">
        <f t="shared" si="100"/>
        <v/>
      </c>
      <c r="CS63" s="23" t="str">
        <f t="shared" si="100"/>
        <v/>
      </c>
      <c r="CT63" s="23" t="str">
        <f t="shared" si="100"/>
        <v/>
      </c>
      <c r="CU63" s="23" t="str">
        <f t="shared" si="100"/>
        <v/>
      </c>
      <c r="CV63" s="23" t="str">
        <f t="shared" si="100"/>
        <v/>
      </c>
      <c r="CW63" s="23" t="str">
        <f t="shared" si="100"/>
        <v/>
      </c>
      <c r="CX63" s="23" t="str">
        <f t="shared" si="101"/>
        <v/>
      </c>
      <c r="CY63" s="23" t="str">
        <f t="shared" si="101"/>
        <v/>
      </c>
      <c r="CZ63" s="23" t="str">
        <f t="shared" si="101"/>
        <v/>
      </c>
      <c r="DA63" s="23" t="str">
        <f t="shared" si="101"/>
        <v/>
      </c>
      <c r="DB63" s="23" t="str">
        <f t="shared" si="101"/>
        <v/>
      </c>
      <c r="DC63" s="23" t="str">
        <f t="shared" si="101"/>
        <v/>
      </c>
      <c r="DD63" s="23" t="str">
        <f t="shared" si="101"/>
        <v/>
      </c>
      <c r="DE63" s="23" t="str">
        <f t="shared" si="101"/>
        <v/>
      </c>
      <c r="DF63" s="23" t="str">
        <f t="shared" si="101"/>
        <v/>
      </c>
      <c r="DG63" s="23" t="str">
        <f t="shared" si="101"/>
        <v/>
      </c>
      <c r="DH63" s="23" t="str">
        <f t="shared" si="101"/>
        <v/>
      </c>
      <c r="DI63" s="23" t="str">
        <f t="shared" si="101"/>
        <v/>
      </c>
      <c r="DJ63" s="23" t="str">
        <f t="shared" si="101"/>
        <v/>
      </c>
      <c r="DK63" s="23" t="str">
        <f t="shared" si="101"/>
        <v/>
      </c>
      <c r="DO63" s="61">
        <f t="shared" si="53"/>
        <v>58</v>
      </c>
      <c r="DP63" s="61">
        <f>IF($A63&lt;&gt;"x",$L63*SUMIFS($AF63:$DK63,$AF$4:$DK$4,Jahresscheiben!C$2),0)</f>
        <v>0</v>
      </c>
      <c r="DQ63" s="61">
        <f>IF($A63&lt;&gt;"x",$L63*SUMIFS($AF63:$DK63,$AF$4:$DK$4,Jahresscheiben!D$2),0)</f>
        <v>0</v>
      </c>
      <c r="DR63" s="61">
        <f>IF($A63&lt;&gt;"x",$L63*SUMIFS($AF63:$DK63,$AF$4:$DK$4,Jahresscheiben!E$2),0)</f>
        <v>0</v>
      </c>
      <c r="DS63" s="61">
        <f>IF($A63&lt;&gt;"x",$L63*SUMIFS($AF63:$DK63,$AF$4:$DK$4,Jahresscheiben!F$2),0)</f>
        <v>0</v>
      </c>
      <c r="DT63" s="61">
        <f>IF($A63&lt;&gt;"x",$L63*SUMIFS($AF63:$DK63,$AF$4:$DK$4,Jahresscheiben!G$2),0)</f>
        <v>0</v>
      </c>
      <c r="DU63" s="61">
        <f>IF($A63&lt;&gt;"x",$L63*SUMIFS($AF63:$DK63,$AF$4:$DK$4,Jahresscheiben!H$2),0)</f>
        <v>0</v>
      </c>
      <c r="DV63" s="61">
        <f>IF($A63&lt;&gt;"x",$L63*SUMIFS($AF63:$DK63,$AF$4:$DK$4,Jahresscheiben!I$2),0)</f>
        <v>0</v>
      </c>
      <c r="DW63" s="85"/>
      <c r="DX63" s="61">
        <f t="shared" si="54"/>
        <v>58</v>
      </c>
      <c r="DY63" s="85">
        <f>IF($A63="x",$L63*SUMIFS($AF63:$DK63,$AF$4:$DK$4,Jahresscheiben!C$2)/2,0)</f>
        <v>0</v>
      </c>
      <c r="DZ63" s="85">
        <f>IF($A63="x",$L63*SUMIFS($AF63:$DK63,$AF$4:$DK$4,Jahresscheiben!D$2)/2,0)</f>
        <v>0</v>
      </c>
      <c r="EA63" s="85">
        <f>IF($A63="x",$L63*SUMIFS($AF63:$DK63,$AF$4:$DK$4,Jahresscheiben!E$2)/2,0)</f>
        <v>0</v>
      </c>
      <c r="EB63" s="85">
        <f>IF($A63="x",$L63*SUMIFS($AF63:$DK63,$AF$4:$DK$4,Jahresscheiben!F$2)/2,0)</f>
        <v>0</v>
      </c>
      <c r="EC63" s="85">
        <f>IF($A63="x",$L63*SUMIFS($AF63:$DK63,$AF$4:$DK$4,Jahresscheiben!G$2)/2,0)</f>
        <v>0</v>
      </c>
      <c r="ED63" s="85">
        <f>IF($A63="x",$L63*SUMIFS($AF63:$DK63,$AF$4:$DK$4,Jahresscheiben!H$2)/2,0)</f>
        <v>0</v>
      </c>
      <c r="EE63" s="85">
        <f>IF($A63="x",$L63*SUMIFS($AF63:$DK63,$AF$4:$DK$4,Jahresscheiben!I$2)/2,0)</f>
        <v>0</v>
      </c>
      <c r="EF63" s="85"/>
      <c r="EG63" s="61">
        <f t="shared" si="55"/>
        <v>58</v>
      </c>
      <c r="EH63" s="85" cm="1">
        <f t="array" ref="EH6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63" s="85" cm="1">
        <f t="array" ref="EI6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63" s="85" cm="1">
        <f t="array" ref="EJ6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63" s="85" cm="1">
        <f t="array" ref="EK6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63" s="85" cm="1">
        <f t="array" ref="EL6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63" s="85" cm="1">
        <f t="array" ref="EM6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63" s="85" cm="1">
        <f t="array" ref="EN6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63" s="85"/>
      <c r="EQ63" s="61">
        <f t="shared" si="56"/>
        <v>58</v>
      </c>
      <c r="ER63" s="62">
        <f>IF($A63&lt;&gt;"x",$P63*SUMIFS($AF63:$DK63,$AF$4:$DK$4,Jahresscheiben!C$2),0)</f>
        <v>0</v>
      </c>
      <c r="ES63" s="62">
        <f>IF($A63&lt;&gt;"x",$P63*SUMIFS($AF63:$DK63,$AF$4:$DK$4,Jahresscheiben!D$2),0)</f>
        <v>0</v>
      </c>
      <c r="ET63" s="62">
        <f>IF($A63&lt;&gt;"x",$P63*SUMIFS($AF63:$DK63,$AF$4:$DK$4,Jahresscheiben!E$2),0)</f>
        <v>0</v>
      </c>
      <c r="EU63" s="62">
        <f>IF($A63&lt;&gt;"x",$P63*SUMIFS($AF63:$DK63,$AF$4:$DK$4,Jahresscheiben!F$2),0)</f>
        <v>0</v>
      </c>
      <c r="EV63" s="62">
        <f>IF($A63&lt;&gt;"x",$P63*SUMIFS($AF63:$DK63,$AF$4:$DK$4,Jahresscheiben!G$2),0)</f>
        <v>0</v>
      </c>
      <c r="EW63" s="62">
        <f>IF($A63&lt;&gt;"x",$P63*SUMIFS($AF63:$DK63,$AF$4:$DK$4,Jahresscheiben!H$2),0)</f>
        <v>0</v>
      </c>
      <c r="EX63" s="62">
        <f>IF($A63&lt;&gt;"x",$P63*SUMIFS($AF63:$DK63,$AF$4:$DK$4,Jahresscheiben!I$2),0)</f>
        <v>0</v>
      </c>
      <c r="EY63" s="85"/>
      <c r="EZ63" s="61">
        <f t="shared" si="57"/>
        <v>58</v>
      </c>
      <c r="FA63" s="85">
        <f>IF($A63="x",$P63*SUMIFS($AF63:$DK63,$AF$4:$DK$4,Jahresscheiben!C$2)/2,0)</f>
        <v>0</v>
      </c>
      <c r="FB63" s="85">
        <f>IF($A63="x",$P63*SUMIFS($AF63:$DK63,$AF$4:$DK$4,Jahresscheiben!D$2)/2,0)</f>
        <v>0</v>
      </c>
      <c r="FC63" s="85">
        <f>IF($A63="x",$P63*SUMIFS($AF63:$DK63,$AF$4:$DK$4,Jahresscheiben!E$2)/2,0)</f>
        <v>0</v>
      </c>
      <c r="FD63" s="85">
        <f>IF($A63="x",$P63*SUMIFS($AF63:$DK63,$AF$4:$DK$4,Jahresscheiben!F$2)/2,0)</f>
        <v>0</v>
      </c>
      <c r="FE63" s="85">
        <f>IF($A63="x",$P63*SUMIFS($AF63:$DK63,$AF$4:$DK$4,Jahresscheiben!G$2)/2,0)</f>
        <v>0</v>
      </c>
      <c r="FF63" s="85">
        <f>IF($A63="x",$P63*SUMIFS($AF63:$DK63,$AF$4:$DK$4,Jahresscheiben!H$2)/2,0)</f>
        <v>0</v>
      </c>
      <c r="FG63" s="85">
        <f>IF($A63="x",$P63*SUMIFS($AF63:$DK63,$AF$4:$DK$4,Jahresscheiben!I$2)/2,0)</f>
        <v>0</v>
      </c>
      <c r="FH63" s="85"/>
      <c r="FI63" s="61">
        <f t="shared" si="58"/>
        <v>58</v>
      </c>
      <c r="FJ63" s="85" cm="1">
        <f t="array" ref="FJ6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63" s="85" cm="1">
        <f t="array" ref="FK6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63" s="85" cm="1">
        <f t="array" ref="FL6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63" s="85" cm="1">
        <f t="array" ref="FM6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63" s="85" cm="1">
        <f t="array" ref="FN6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63" s="85" cm="1">
        <f t="array" ref="FO6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63" s="85" cm="1">
        <f t="array" ref="FP63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64" spans="1:172" ht="17" hidden="1" customHeight="1" thickBot="1" x14ac:dyDescent="0.55000000000000004">
      <c r="A64" s="30" t="s">
        <v>24</v>
      </c>
      <c r="B64" s="31">
        <f t="shared" si="50"/>
        <v>0</v>
      </c>
      <c r="C64" s="22">
        <f t="shared" si="51"/>
        <v>59</v>
      </c>
      <c r="D64" s="25"/>
      <c r="E64" s="26"/>
      <c r="F64" s="26"/>
      <c r="G64" s="26"/>
      <c r="H64" s="26"/>
      <c r="I64" s="6" t="str">
        <f t="shared" si="40"/>
        <v/>
      </c>
      <c r="J64" s="6" t="str">
        <f t="shared" si="41"/>
        <v/>
      </c>
      <c r="K64" s="26"/>
      <c r="L64" s="53">
        <v>1</v>
      </c>
      <c r="M64" s="60" cm="1">
        <f t="array" ref="M64" xml:space="preserve">
_xlfn.LET(
_xlpm.Z, _xlfn._xlws.FILTER($DY$6:$EE$65,$DX$6:$DX$65=C64),
_xlpm.Q,_xlfn._xlws.FILTER($DP$6:$DV$65,$DO$6:$DO$65=C64),
IF($A64="x",SUMPRODUCT(_xlpm.Z,$DY$73:$EE$73,EH64:EN64),SUMPRODUCT(_xlpm.Q,$DP$73:$DV$73)))</f>
        <v>0</v>
      </c>
      <c r="N64" s="54" t="str" cm="1">
        <f t="array" ref="N64" xml:space="preserve">
_xlfn.LET(
_xlpm.Z, SUM(IF($A64="x",_xlfn._xlws.FILTER($M$6:$M$65,$A$6:$A$65="x"),_xlfn._xlws.FILTER($M$6:$M$65,$A$6:$A$65&lt;&gt;"x"))),
IF(_xlpm.Z&lt;&gt;0,M64/_xlpm.Z,""))</f>
        <v/>
      </c>
      <c r="O64" s="26"/>
      <c r="P64" s="53">
        <f t="shared" si="52"/>
        <v>1</v>
      </c>
      <c r="Q64" s="60" cm="1">
        <f t="array" ref="Q64" xml:space="preserve">
_xlfn.LET(
_xlpm.Z, _xlfn._xlws.FILTER($FA$6:$FG$65,$EZ$6:$EZ$65=C64),
_xlpm.Q,_xlfn._xlws.FILTER($ER$6:$EX$65,$EQ$6:$EQ$65=C64),
IF($A64="x",SUMPRODUCT(_xlpm.Z,$FA$73:$FG$73,FJ64:FP64),SUMPRODUCT(_xlpm.Q,$ER$73:$EX$73)))</f>
        <v>0</v>
      </c>
      <c r="R64" s="54" t="str" cm="1">
        <f t="array" ref="R64" xml:space="preserve">
_xlfn.LET(
_xlpm.Z, SUM(IF($A64="x",_xlfn._xlws.FILTER($Q$6:$Q$65,$A$6:$A$65="x"),_xlfn._xlws.FILTER($Q$6:$Q$65,$A$6:$A$65&lt;&gt;"x"))),
IF(_xlpm.Z&lt;&gt;0,Q64/_xlpm.Z,""))</f>
        <v/>
      </c>
      <c r="S64" s="26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8"/>
      <c r="AE64" s="28"/>
      <c r="AF64" s="23" t="str">
        <f t="shared" si="94"/>
        <v/>
      </c>
      <c r="AG64" s="23" t="str">
        <f t="shared" si="94"/>
        <v/>
      </c>
      <c r="AH64" s="23" t="str">
        <f t="shared" si="94"/>
        <v/>
      </c>
      <c r="AI64" s="23" t="str">
        <f t="shared" si="94"/>
        <v/>
      </c>
      <c r="AJ64" s="23" t="str">
        <f t="shared" si="94"/>
        <v/>
      </c>
      <c r="AK64" s="23" t="str">
        <f t="shared" si="94"/>
        <v/>
      </c>
      <c r="AL64" s="23" t="str">
        <f t="shared" si="94"/>
        <v/>
      </c>
      <c r="AM64" s="23" t="str">
        <f t="shared" si="94"/>
        <v/>
      </c>
      <c r="AN64" s="23" t="str">
        <f t="shared" si="94"/>
        <v/>
      </c>
      <c r="AO64" s="23" t="str">
        <f t="shared" si="94"/>
        <v/>
      </c>
      <c r="AP64" s="23" t="str">
        <f t="shared" si="95"/>
        <v/>
      </c>
      <c r="AQ64" s="23" t="str">
        <f t="shared" si="95"/>
        <v/>
      </c>
      <c r="AR64" s="23" t="str">
        <f t="shared" si="95"/>
        <v/>
      </c>
      <c r="AS64" s="23" t="str">
        <f t="shared" si="95"/>
        <v/>
      </c>
      <c r="AT64" s="23" t="str">
        <f t="shared" si="95"/>
        <v/>
      </c>
      <c r="AU64" s="23" t="str">
        <f t="shared" si="95"/>
        <v/>
      </c>
      <c r="AV64" s="23" t="str">
        <f t="shared" si="95"/>
        <v/>
      </c>
      <c r="AW64" s="23" t="str">
        <f t="shared" si="95"/>
        <v/>
      </c>
      <c r="AX64" s="23" t="str">
        <f t="shared" si="95"/>
        <v/>
      </c>
      <c r="AY64" s="23" t="str">
        <f t="shared" si="95"/>
        <v/>
      </c>
      <c r="AZ64" s="23" t="str">
        <f t="shared" si="96"/>
        <v/>
      </c>
      <c r="BA64" s="23" t="str">
        <f t="shared" si="96"/>
        <v/>
      </c>
      <c r="BB64" s="23" t="str">
        <f t="shared" si="96"/>
        <v/>
      </c>
      <c r="BC64" s="23" t="str">
        <f t="shared" si="96"/>
        <v/>
      </c>
      <c r="BD64" s="23" t="str">
        <f t="shared" si="96"/>
        <v/>
      </c>
      <c r="BE64" s="23" t="str">
        <f t="shared" si="96"/>
        <v/>
      </c>
      <c r="BF64" s="23" t="str">
        <f t="shared" si="96"/>
        <v/>
      </c>
      <c r="BG64" s="23" t="str">
        <f t="shared" si="96"/>
        <v/>
      </c>
      <c r="BH64" s="23" t="str">
        <f t="shared" si="96"/>
        <v/>
      </c>
      <c r="BI64" s="23" t="str">
        <f t="shared" si="96"/>
        <v/>
      </c>
      <c r="BJ64" s="23" t="str">
        <f t="shared" si="97"/>
        <v/>
      </c>
      <c r="BK64" s="23" t="str">
        <f t="shared" si="97"/>
        <v/>
      </c>
      <c r="BL64" s="23" t="str">
        <f t="shared" si="97"/>
        <v/>
      </c>
      <c r="BM64" s="23" t="str">
        <f t="shared" si="97"/>
        <v/>
      </c>
      <c r="BN64" s="23" t="str">
        <f t="shared" si="97"/>
        <v/>
      </c>
      <c r="BO64" s="23" t="str">
        <f t="shared" si="97"/>
        <v/>
      </c>
      <c r="BP64" s="23" t="str">
        <f t="shared" si="97"/>
        <v/>
      </c>
      <c r="BQ64" s="23" t="str">
        <f t="shared" si="97"/>
        <v/>
      </c>
      <c r="BR64" s="23" t="str">
        <f t="shared" si="97"/>
        <v/>
      </c>
      <c r="BS64" s="23" t="str">
        <f t="shared" si="97"/>
        <v/>
      </c>
      <c r="BT64" s="23" t="str">
        <f t="shared" si="98"/>
        <v/>
      </c>
      <c r="BU64" s="23" t="str">
        <f t="shared" si="98"/>
        <v/>
      </c>
      <c r="BV64" s="23" t="str">
        <f t="shared" si="98"/>
        <v/>
      </c>
      <c r="BW64" s="23" t="str">
        <f t="shared" si="98"/>
        <v/>
      </c>
      <c r="BX64" s="23" t="str">
        <f t="shared" si="98"/>
        <v/>
      </c>
      <c r="BY64" s="23" t="str">
        <f t="shared" si="98"/>
        <v/>
      </c>
      <c r="BZ64" s="23" t="str">
        <f t="shared" si="98"/>
        <v/>
      </c>
      <c r="CA64" s="23" t="str">
        <f t="shared" si="98"/>
        <v/>
      </c>
      <c r="CB64" s="23" t="str">
        <f t="shared" si="98"/>
        <v/>
      </c>
      <c r="CC64" s="23" t="str">
        <f t="shared" si="98"/>
        <v/>
      </c>
      <c r="CD64" s="23" t="str">
        <f t="shared" si="99"/>
        <v/>
      </c>
      <c r="CE64" s="23" t="str">
        <f t="shared" si="99"/>
        <v/>
      </c>
      <c r="CF64" s="23" t="str">
        <f t="shared" si="99"/>
        <v/>
      </c>
      <c r="CG64" s="23" t="str">
        <f t="shared" si="99"/>
        <v/>
      </c>
      <c r="CH64" s="23" t="str">
        <f t="shared" si="99"/>
        <v/>
      </c>
      <c r="CI64" s="23" t="str">
        <f t="shared" si="99"/>
        <v/>
      </c>
      <c r="CJ64" s="23" t="str">
        <f t="shared" si="99"/>
        <v/>
      </c>
      <c r="CK64" s="23" t="str">
        <f t="shared" si="99"/>
        <v/>
      </c>
      <c r="CL64" s="23" t="str">
        <f t="shared" si="99"/>
        <v/>
      </c>
      <c r="CM64" s="23" t="str">
        <f t="shared" si="99"/>
        <v/>
      </c>
      <c r="CN64" s="23" t="str">
        <f t="shared" si="100"/>
        <v/>
      </c>
      <c r="CO64" s="23" t="str">
        <f t="shared" si="100"/>
        <v/>
      </c>
      <c r="CP64" s="23" t="str">
        <f t="shared" si="100"/>
        <v/>
      </c>
      <c r="CQ64" s="23" t="str">
        <f t="shared" si="100"/>
        <v/>
      </c>
      <c r="CR64" s="23" t="str">
        <f t="shared" si="100"/>
        <v/>
      </c>
      <c r="CS64" s="23" t="str">
        <f t="shared" si="100"/>
        <v/>
      </c>
      <c r="CT64" s="23" t="str">
        <f t="shared" si="100"/>
        <v/>
      </c>
      <c r="CU64" s="23" t="str">
        <f t="shared" si="100"/>
        <v/>
      </c>
      <c r="CV64" s="23" t="str">
        <f t="shared" si="100"/>
        <v/>
      </c>
      <c r="CW64" s="23" t="str">
        <f t="shared" si="100"/>
        <v/>
      </c>
      <c r="CX64" s="23" t="str">
        <f t="shared" si="101"/>
        <v/>
      </c>
      <c r="CY64" s="23" t="str">
        <f t="shared" si="101"/>
        <v/>
      </c>
      <c r="CZ64" s="23" t="str">
        <f t="shared" si="101"/>
        <v/>
      </c>
      <c r="DA64" s="23" t="str">
        <f t="shared" si="101"/>
        <v/>
      </c>
      <c r="DB64" s="23" t="str">
        <f t="shared" si="101"/>
        <v/>
      </c>
      <c r="DC64" s="23" t="str">
        <f t="shared" si="101"/>
        <v/>
      </c>
      <c r="DD64" s="23" t="str">
        <f t="shared" si="101"/>
        <v/>
      </c>
      <c r="DE64" s="23" t="str">
        <f t="shared" si="101"/>
        <v/>
      </c>
      <c r="DF64" s="23" t="str">
        <f t="shared" si="101"/>
        <v/>
      </c>
      <c r="DG64" s="23" t="str">
        <f t="shared" si="101"/>
        <v/>
      </c>
      <c r="DH64" s="23" t="str">
        <f t="shared" si="101"/>
        <v/>
      </c>
      <c r="DI64" s="23" t="str">
        <f t="shared" si="101"/>
        <v/>
      </c>
      <c r="DJ64" s="23" t="str">
        <f t="shared" si="101"/>
        <v/>
      </c>
      <c r="DK64" s="23" t="str">
        <f t="shared" si="101"/>
        <v/>
      </c>
      <c r="DO64" s="61">
        <f t="shared" si="53"/>
        <v>59</v>
      </c>
      <c r="DP64" s="61">
        <f>IF($A64&lt;&gt;"x",$L64*SUMIFS($AF64:$DK64,$AF$4:$DK$4,Jahresscheiben!C$2),0)</f>
        <v>0</v>
      </c>
      <c r="DQ64" s="61">
        <f>IF($A64&lt;&gt;"x",$L64*SUMIFS($AF64:$DK64,$AF$4:$DK$4,Jahresscheiben!D$2),0)</f>
        <v>0</v>
      </c>
      <c r="DR64" s="61">
        <f>IF($A64&lt;&gt;"x",$L64*SUMIFS($AF64:$DK64,$AF$4:$DK$4,Jahresscheiben!E$2),0)</f>
        <v>0</v>
      </c>
      <c r="DS64" s="61">
        <f>IF($A64&lt;&gt;"x",$L64*SUMIFS($AF64:$DK64,$AF$4:$DK$4,Jahresscheiben!F$2),0)</f>
        <v>0</v>
      </c>
      <c r="DT64" s="61">
        <f>IF($A64&lt;&gt;"x",$L64*SUMIFS($AF64:$DK64,$AF$4:$DK$4,Jahresscheiben!G$2),0)</f>
        <v>0</v>
      </c>
      <c r="DU64" s="61">
        <f>IF($A64&lt;&gt;"x",$L64*SUMIFS($AF64:$DK64,$AF$4:$DK$4,Jahresscheiben!H$2),0)</f>
        <v>0</v>
      </c>
      <c r="DV64" s="61">
        <f>IF($A64&lt;&gt;"x",$L64*SUMIFS($AF64:$DK64,$AF$4:$DK$4,Jahresscheiben!I$2),0)</f>
        <v>0</v>
      </c>
      <c r="DW64" s="85"/>
      <c r="DX64" s="61">
        <f t="shared" si="54"/>
        <v>59</v>
      </c>
      <c r="DY64" s="85">
        <f>IF($A64="x",$L64*SUMIFS($AF64:$DK64,$AF$4:$DK$4,Jahresscheiben!C$2)/2,0)</f>
        <v>0</v>
      </c>
      <c r="DZ64" s="85">
        <f>IF($A64="x",$L64*SUMIFS($AF64:$DK64,$AF$4:$DK$4,Jahresscheiben!D$2)/2,0)</f>
        <v>0</v>
      </c>
      <c r="EA64" s="85">
        <f>IF($A64="x",$L64*SUMIFS($AF64:$DK64,$AF$4:$DK$4,Jahresscheiben!E$2)/2,0)</f>
        <v>0</v>
      </c>
      <c r="EB64" s="85">
        <f>IF($A64="x",$L64*SUMIFS($AF64:$DK64,$AF$4:$DK$4,Jahresscheiben!F$2)/2,0)</f>
        <v>0</v>
      </c>
      <c r="EC64" s="85">
        <f>IF($A64="x",$L64*SUMIFS($AF64:$DK64,$AF$4:$DK$4,Jahresscheiben!G$2)/2,0)</f>
        <v>0</v>
      </c>
      <c r="ED64" s="85">
        <f>IF($A64="x",$L64*SUMIFS($AF64:$DK64,$AF$4:$DK$4,Jahresscheiben!H$2)/2,0)</f>
        <v>0</v>
      </c>
      <c r="EE64" s="85">
        <f>IF($A64="x",$L64*SUMIFS($AF64:$DK64,$AF$4:$DK$4,Jahresscheiben!I$2)/2,0)</f>
        <v>0</v>
      </c>
      <c r="EF64" s="85"/>
      <c r="EG64" s="61">
        <f t="shared" si="55"/>
        <v>59</v>
      </c>
      <c r="EH64" s="85" cm="1">
        <f t="array" ref="EH6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64" s="85" cm="1">
        <f t="array" ref="EI6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64" s="85" cm="1">
        <f t="array" ref="EJ6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64" s="85" cm="1">
        <f t="array" ref="EK6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64" s="85" cm="1">
        <f t="array" ref="EL6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64" s="85" cm="1">
        <f t="array" ref="EM6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64" s="85" cm="1">
        <f t="array" ref="EN6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64" s="85"/>
      <c r="EQ64" s="61">
        <f t="shared" si="56"/>
        <v>59</v>
      </c>
      <c r="ER64" s="62">
        <f>IF($A64&lt;&gt;"x",$P64*SUMIFS($AF64:$DK64,$AF$4:$DK$4,Jahresscheiben!C$2),0)</f>
        <v>0</v>
      </c>
      <c r="ES64" s="62">
        <f>IF($A64&lt;&gt;"x",$P64*SUMIFS($AF64:$DK64,$AF$4:$DK$4,Jahresscheiben!D$2),0)</f>
        <v>0</v>
      </c>
      <c r="ET64" s="62">
        <f>IF($A64&lt;&gt;"x",$P64*SUMIFS($AF64:$DK64,$AF$4:$DK$4,Jahresscheiben!E$2),0)</f>
        <v>0</v>
      </c>
      <c r="EU64" s="62">
        <f>IF($A64&lt;&gt;"x",$P64*SUMIFS($AF64:$DK64,$AF$4:$DK$4,Jahresscheiben!F$2),0)</f>
        <v>0</v>
      </c>
      <c r="EV64" s="62">
        <f>IF($A64&lt;&gt;"x",$P64*SUMIFS($AF64:$DK64,$AF$4:$DK$4,Jahresscheiben!G$2),0)</f>
        <v>0</v>
      </c>
      <c r="EW64" s="62">
        <f>IF($A64&lt;&gt;"x",$P64*SUMIFS($AF64:$DK64,$AF$4:$DK$4,Jahresscheiben!H$2),0)</f>
        <v>0</v>
      </c>
      <c r="EX64" s="62">
        <f>IF($A64&lt;&gt;"x",$P64*SUMIFS($AF64:$DK64,$AF$4:$DK$4,Jahresscheiben!I$2),0)</f>
        <v>0</v>
      </c>
      <c r="EY64" s="85"/>
      <c r="EZ64" s="61">
        <f t="shared" si="57"/>
        <v>59</v>
      </c>
      <c r="FA64" s="85">
        <f>IF($A64="x",$P64*SUMIFS($AF64:$DK64,$AF$4:$DK$4,Jahresscheiben!C$2)/2,0)</f>
        <v>0</v>
      </c>
      <c r="FB64" s="85">
        <f>IF($A64="x",$P64*SUMIFS($AF64:$DK64,$AF$4:$DK$4,Jahresscheiben!D$2)/2,0)</f>
        <v>0</v>
      </c>
      <c r="FC64" s="85">
        <f>IF($A64="x",$P64*SUMIFS($AF64:$DK64,$AF$4:$DK$4,Jahresscheiben!E$2)/2,0)</f>
        <v>0</v>
      </c>
      <c r="FD64" s="85">
        <f>IF($A64="x",$P64*SUMIFS($AF64:$DK64,$AF$4:$DK$4,Jahresscheiben!F$2)/2,0)</f>
        <v>0</v>
      </c>
      <c r="FE64" s="85">
        <f>IF($A64="x",$P64*SUMIFS($AF64:$DK64,$AF$4:$DK$4,Jahresscheiben!G$2)/2,0)</f>
        <v>0</v>
      </c>
      <c r="FF64" s="85">
        <f>IF($A64="x",$P64*SUMIFS($AF64:$DK64,$AF$4:$DK$4,Jahresscheiben!H$2)/2,0)</f>
        <v>0</v>
      </c>
      <c r="FG64" s="85">
        <f>IF($A64="x",$P64*SUMIFS($AF64:$DK64,$AF$4:$DK$4,Jahresscheiben!I$2)/2,0)</f>
        <v>0</v>
      </c>
      <c r="FH64" s="85"/>
      <c r="FI64" s="61">
        <f t="shared" si="58"/>
        <v>59</v>
      </c>
      <c r="FJ64" s="85" cm="1">
        <f t="array" ref="FJ6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64" s="85" cm="1">
        <f t="array" ref="FK6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64" s="85" cm="1">
        <f t="array" ref="FL6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64" s="85" cm="1">
        <f t="array" ref="FM6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64" s="85" cm="1">
        <f t="array" ref="FN6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64" s="85" cm="1">
        <f t="array" ref="FO6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64" s="85" cm="1">
        <f t="array" ref="FP64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65" spans="1:172" ht="17" hidden="1" customHeight="1" thickBot="1" x14ac:dyDescent="0.55000000000000004">
      <c r="A65" s="30" t="s">
        <v>24</v>
      </c>
      <c r="B65" s="31">
        <f t="shared" si="50"/>
        <v>0</v>
      </c>
      <c r="C65" s="22">
        <f t="shared" si="51"/>
        <v>60</v>
      </c>
      <c r="D65" s="25"/>
      <c r="E65" s="26"/>
      <c r="F65" s="26"/>
      <c r="G65" s="26"/>
      <c r="H65" s="26"/>
      <c r="I65" s="6" t="str">
        <f t="shared" si="40"/>
        <v/>
      </c>
      <c r="J65" s="6" t="str">
        <f t="shared" si="41"/>
        <v/>
      </c>
      <c r="K65" s="26"/>
      <c r="L65" s="53">
        <v>1</v>
      </c>
      <c r="M65" s="60" cm="1">
        <f t="array" ref="M65" xml:space="preserve">
_xlfn.LET(
_xlpm.Z, _xlfn._xlws.FILTER($DY$6:$EE$65,$DX$6:$DX$65=C65),
_xlpm.Q,_xlfn._xlws.FILTER($DP$6:$DV$65,$DO$6:$DO$65=C65),
IF($A65="x",SUMPRODUCT(_xlpm.Z,$DY$73:$EE$73),SUMPRODUCT(_xlpm.Q,$DP$73:$DV$73)))</f>
        <v>0</v>
      </c>
      <c r="N65" s="54" t="str" cm="1">
        <f t="array" ref="N65" xml:space="preserve">
_xlfn.LET(
_xlpm.Z, SUM(IF($A65="x",_xlfn._xlws.FILTER($M$6:$M$65,$A$6:$A$65="x"),_xlfn._xlws.FILTER($M$6:$M$65,$A$6:$A$65&lt;&gt;"x"))),
IF(_xlpm.Z&lt;&gt;0,M65/_xlpm.Z,""))</f>
        <v/>
      </c>
      <c r="O65" s="26"/>
      <c r="P65" s="53">
        <f t="shared" si="52"/>
        <v>1</v>
      </c>
      <c r="Q65" s="60" cm="1">
        <f t="array" ref="Q65" xml:space="preserve">
_xlfn.LET(
_xlpm.Z, _xlfn._xlws.FILTER($FA$6:$FG$65,$EZ$6:$EZ$65=C65),
_xlpm.Q,_xlfn._xlws.FILTER($ER$6:$EX$65,$EQ$6:$EQ$65=C65),
IF($A65="x",SUMPRODUCT(_xlpm.Z,$FA$73:$FG$73,FJ65:FP65),SUMPRODUCT(_xlpm.Q,$ER$73:$EX$73)))</f>
        <v>0</v>
      </c>
      <c r="R65" s="54" t="str" cm="1">
        <f t="array" ref="R65" xml:space="preserve">
_xlfn.LET(
_xlpm.Z, SUM(IF($A65="x",_xlfn._xlws.FILTER($Q$6:$Q$65,$A$6:$A$65="x"),_xlfn._xlws.FILTER($Q$6:$Q$65,$A$6:$A$65&lt;&gt;"x"))),
IF(_xlpm.Z&lt;&gt;0,Q65/_xlpm.Z,""))</f>
        <v/>
      </c>
      <c r="S65" s="26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8"/>
      <c r="AE65" s="28"/>
      <c r="AF65" s="23" t="str">
        <f t="shared" si="94"/>
        <v/>
      </c>
      <c r="AG65" s="23" t="str">
        <f t="shared" si="94"/>
        <v/>
      </c>
      <c r="AH65" s="23" t="str">
        <f t="shared" si="94"/>
        <v/>
      </c>
      <c r="AI65" s="23" t="str">
        <f t="shared" si="94"/>
        <v/>
      </c>
      <c r="AJ65" s="23" t="str">
        <f t="shared" si="94"/>
        <v/>
      </c>
      <c r="AK65" s="23" t="str">
        <f t="shared" si="94"/>
        <v/>
      </c>
      <c r="AL65" s="23" t="str">
        <f t="shared" si="94"/>
        <v/>
      </c>
      <c r="AM65" s="23" t="str">
        <f t="shared" si="94"/>
        <v/>
      </c>
      <c r="AN65" s="23" t="str">
        <f t="shared" si="94"/>
        <v/>
      </c>
      <c r="AO65" s="23" t="str">
        <f t="shared" si="94"/>
        <v/>
      </c>
      <c r="AP65" s="23" t="str">
        <f t="shared" si="95"/>
        <v/>
      </c>
      <c r="AQ65" s="23" t="str">
        <f t="shared" si="95"/>
        <v/>
      </c>
      <c r="AR65" s="23" t="str">
        <f t="shared" si="95"/>
        <v/>
      </c>
      <c r="AS65" s="23" t="str">
        <f t="shared" si="95"/>
        <v/>
      </c>
      <c r="AT65" s="23" t="str">
        <f t="shared" si="95"/>
        <v/>
      </c>
      <c r="AU65" s="23" t="str">
        <f t="shared" si="95"/>
        <v/>
      </c>
      <c r="AV65" s="23" t="str">
        <f t="shared" si="95"/>
        <v/>
      </c>
      <c r="AW65" s="23" t="str">
        <f t="shared" si="95"/>
        <v/>
      </c>
      <c r="AX65" s="23" t="str">
        <f t="shared" si="95"/>
        <v/>
      </c>
      <c r="AY65" s="23" t="str">
        <f t="shared" si="95"/>
        <v/>
      </c>
      <c r="AZ65" s="23" t="str">
        <f t="shared" si="96"/>
        <v/>
      </c>
      <c r="BA65" s="23" t="str">
        <f t="shared" si="96"/>
        <v/>
      </c>
      <c r="BB65" s="23" t="str">
        <f t="shared" si="96"/>
        <v/>
      </c>
      <c r="BC65" s="23" t="str">
        <f t="shared" si="96"/>
        <v/>
      </c>
      <c r="BD65" s="23" t="str">
        <f t="shared" si="96"/>
        <v/>
      </c>
      <c r="BE65" s="23" t="str">
        <f t="shared" si="96"/>
        <v/>
      </c>
      <c r="BF65" s="23" t="str">
        <f t="shared" si="96"/>
        <v/>
      </c>
      <c r="BG65" s="23" t="str">
        <f t="shared" si="96"/>
        <v/>
      </c>
      <c r="BH65" s="23" t="str">
        <f t="shared" si="96"/>
        <v/>
      </c>
      <c r="BI65" s="23" t="str">
        <f t="shared" si="96"/>
        <v/>
      </c>
      <c r="BJ65" s="23" t="str">
        <f t="shared" si="97"/>
        <v/>
      </c>
      <c r="BK65" s="23" t="str">
        <f t="shared" si="97"/>
        <v/>
      </c>
      <c r="BL65" s="23" t="str">
        <f t="shared" si="97"/>
        <v/>
      </c>
      <c r="BM65" s="23" t="str">
        <f t="shared" si="97"/>
        <v/>
      </c>
      <c r="BN65" s="23" t="str">
        <f t="shared" si="97"/>
        <v/>
      </c>
      <c r="BO65" s="23" t="str">
        <f t="shared" si="97"/>
        <v/>
      </c>
      <c r="BP65" s="23" t="str">
        <f t="shared" si="97"/>
        <v/>
      </c>
      <c r="BQ65" s="23" t="str">
        <f t="shared" si="97"/>
        <v/>
      </c>
      <c r="BR65" s="23" t="str">
        <f t="shared" si="97"/>
        <v/>
      </c>
      <c r="BS65" s="23" t="str">
        <f t="shared" si="97"/>
        <v/>
      </c>
      <c r="BT65" s="23" t="str">
        <f t="shared" si="98"/>
        <v/>
      </c>
      <c r="BU65" s="23" t="str">
        <f t="shared" si="98"/>
        <v/>
      </c>
      <c r="BV65" s="23" t="str">
        <f t="shared" si="98"/>
        <v/>
      </c>
      <c r="BW65" s="23" t="str">
        <f t="shared" si="98"/>
        <v/>
      </c>
      <c r="BX65" s="23" t="str">
        <f t="shared" si="98"/>
        <v/>
      </c>
      <c r="BY65" s="23" t="str">
        <f t="shared" si="98"/>
        <v/>
      </c>
      <c r="BZ65" s="23" t="str">
        <f t="shared" si="98"/>
        <v/>
      </c>
      <c r="CA65" s="23" t="str">
        <f t="shared" si="98"/>
        <v/>
      </c>
      <c r="CB65" s="23" t="str">
        <f t="shared" si="98"/>
        <v/>
      </c>
      <c r="CC65" s="23" t="str">
        <f t="shared" si="98"/>
        <v/>
      </c>
      <c r="CD65" s="23" t="str">
        <f t="shared" si="99"/>
        <v/>
      </c>
      <c r="CE65" s="23" t="str">
        <f t="shared" si="99"/>
        <v/>
      </c>
      <c r="CF65" s="23" t="str">
        <f t="shared" si="99"/>
        <v/>
      </c>
      <c r="CG65" s="23" t="str">
        <f t="shared" si="99"/>
        <v/>
      </c>
      <c r="CH65" s="23" t="str">
        <f t="shared" si="99"/>
        <v/>
      </c>
      <c r="CI65" s="23" t="str">
        <f t="shared" si="99"/>
        <v/>
      </c>
      <c r="CJ65" s="23" t="str">
        <f t="shared" si="99"/>
        <v/>
      </c>
      <c r="CK65" s="23" t="str">
        <f t="shared" si="99"/>
        <v/>
      </c>
      <c r="CL65" s="23" t="str">
        <f t="shared" si="99"/>
        <v/>
      </c>
      <c r="CM65" s="23" t="str">
        <f t="shared" si="99"/>
        <v/>
      </c>
      <c r="CN65" s="23" t="str">
        <f t="shared" si="100"/>
        <v/>
      </c>
      <c r="CO65" s="23" t="str">
        <f t="shared" si="100"/>
        <v/>
      </c>
      <c r="CP65" s="23" t="str">
        <f t="shared" si="100"/>
        <v/>
      </c>
      <c r="CQ65" s="23" t="str">
        <f t="shared" si="100"/>
        <v/>
      </c>
      <c r="CR65" s="23" t="str">
        <f t="shared" si="100"/>
        <v/>
      </c>
      <c r="CS65" s="23" t="str">
        <f t="shared" si="100"/>
        <v/>
      </c>
      <c r="CT65" s="23" t="str">
        <f t="shared" si="100"/>
        <v/>
      </c>
      <c r="CU65" s="23" t="str">
        <f t="shared" si="100"/>
        <v/>
      </c>
      <c r="CV65" s="23" t="str">
        <f t="shared" si="100"/>
        <v/>
      </c>
      <c r="CW65" s="23" t="str">
        <f t="shared" si="100"/>
        <v/>
      </c>
      <c r="CX65" s="23" t="str">
        <f t="shared" si="101"/>
        <v/>
      </c>
      <c r="CY65" s="23" t="str">
        <f t="shared" si="101"/>
        <v/>
      </c>
      <c r="CZ65" s="23" t="str">
        <f t="shared" si="101"/>
        <v/>
      </c>
      <c r="DA65" s="23" t="str">
        <f t="shared" si="101"/>
        <v/>
      </c>
      <c r="DB65" s="23" t="str">
        <f t="shared" si="101"/>
        <v/>
      </c>
      <c r="DC65" s="23" t="str">
        <f t="shared" si="101"/>
        <v/>
      </c>
      <c r="DD65" s="23" t="str">
        <f t="shared" si="101"/>
        <v/>
      </c>
      <c r="DE65" s="23" t="str">
        <f t="shared" si="101"/>
        <v/>
      </c>
      <c r="DF65" s="23" t="str">
        <f t="shared" si="101"/>
        <v/>
      </c>
      <c r="DG65" s="23" t="str">
        <f t="shared" si="101"/>
        <v/>
      </c>
      <c r="DH65" s="23" t="str">
        <f t="shared" si="101"/>
        <v/>
      </c>
      <c r="DI65" s="23" t="str">
        <f t="shared" si="101"/>
        <v/>
      </c>
      <c r="DJ65" s="23" t="str">
        <f t="shared" si="101"/>
        <v/>
      </c>
      <c r="DK65" s="23" t="str">
        <f t="shared" si="101"/>
        <v/>
      </c>
      <c r="DO65" s="61">
        <f t="shared" si="53"/>
        <v>60</v>
      </c>
      <c r="DP65" s="61">
        <f>IF($A65&lt;&gt;"x",$L65*SUMIFS($AF65:$DK65,$AF$4:$DK$4,Jahresscheiben!C$2),0)</f>
        <v>0</v>
      </c>
      <c r="DQ65" s="61">
        <f>IF($A65&lt;&gt;"x",$L65*SUMIFS($AF65:$DK65,$AF$4:$DK$4,Jahresscheiben!D$2),0)</f>
        <v>0</v>
      </c>
      <c r="DR65" s="61">
        <f>IF($A65&lt;&gt;"x",$L65*SUMIFS($AF65:$DK65,$AF$4:$DK$4,Jahresscheiben!E$2),0)</f>
        <v>0</v>
      </c>
      <c r="DS65" s="61">
        <f>IF($A65&lt;&gt;"x",$L65*SUMIFS($AF65:$DK65,$AF$4:$DK$4,Jahresscheiben!F$2),0)</f>
        <v>0</v>
      </c>
      <c r="DT65" s="61">
        <f>IF($A65&lt;&gt;"x",$L65*SUMIFS($AF65:$DK65,$AF$4:$DK$4,Jahresscheiben!G$2),0)</f>
        <v>0</v>
      </c>
      <c r="DU65" s="61">
        <f>IF($A65&lt;&gt;"x",$L65*SUMIFS($AF65:$DK65,$AF$4:$DK$4,Jahresscheiben!H$2),0)</f>
        <v>0</v>
      </c>
      <c r="DV65" s="61">
        <f>IF($A65&lt;&gt;"x",$L65*SUMIFS($AF65:$DK65,$AF$4:$DK$4,Jahresscheiben!I$2),0)</f>
        <v>0</v>
      </c>
      <c r="DW65" s="85"/>
      <c r="DX65" s="61">
        <f t="shared" si="54"/>
        <v>60</v>
      </c>
      <c r="DY65" s="85">
        <f>IF($A65="x",$L65*SUMIFS($AF65:$DK65,$AF$4:$DK$4,Jahresscheiben!C$2)/2,0)</f>
        <v>0</v>
      </c>
      <c r="DZ65" s="85">
        <f>IF($A65="x",$L65*SUMIFS($AF65:$DK65,$AF$4:$DK$4,Jahresscheiben!D$2)/2,0)</f>
        <v>0</v>
      </c>
      <c r="EA65" s="85">
        <f>IF($A65="x",$L65*SUMIFS($AF65:$DK65,$AF$4:$DK$4,Jahresscheiben!E$2)/2,0)</f>
        <v>0</v>
      </c>
      <c r="EB65" s="85">
        <f>IF($A65="x",$L65*SUMIFS($AF65:$DK65,$AF$4:$DK$4,Jahresscheiben!F$2)/2,0)</f>
        <v>0</v>
      </c>
      <c r="EC65" s="85">
        <f>IF($A65="x",$L65*SUMIFS($AF65:$DK65,$AF$4:$DK$4,Jahresscheiben!G$2)/2,0)</f>
        <v>0</v>
      </c>
      <c r="ED65" s="85">
        <f>IF($A65="x",$L65*SUMIFS($AF65:$DK65,$AF$4:$DK$4,Jahresscheiben!H$2)/2,0)</f>
        <v>0</v>
      </c>
      <c r="EE65" s="85">
        <f>IF($A65="x",$L65*SUMIFS($AF65:$DK65,$AF$4:$DK$4,Jahresscheiben!I$2)/2,0)</f>
        <v>0</v>
      </c>
      <c r="EF65" s="85"/>
      <c r="EG65" s="61">
        <f t="shared" si="55"/>
        <v>60</v>
      </c>
      <c r="EH65" s="85" cm="1">
        <f t="array" ref="EH6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IF(_xlpm.bot=_xlpm.top,0,IF(DP$72,IF(SUM(_xlfn._xlws.FILTER(DY$6:DY$65,(_xlpm.r&gt;_xlpm.top)*(_xlpm.r&lt;_xlpm.bot))),1/SUM(_xlfn._xlws.FILTER(DY$6:DY$65,(_xlpm.r&gt;_xlpm.top)*(_xlpm.r&lt;_xlpm.bot)))*DY$72*INDEX(DP:DP,_xlpm.top)/DP$72,0),0)))</f>
        <v>0</v>
      </c>
      <c r="EI65" s="85" cm="1">
        <f t="array" ref="EI6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IF(_xlpm.bot=_xlpm.top,0,IF(DQ$72,IF(SUM(_xlfn._xlws.FILTER(DZ$6:DZ$65,(_xlpm.r&gt;_xlpm.top)*(_xlpm.r&lt;_xlpm.bot))),1/SUM(_xlfn._xlws.FILTER(DZ$6:DZ$65,(_xlpm.r&gt;_xlpm.top)*(_xlpm.r&lt;_xlpm.bot)))*DZ$72*INDEX(DQ:DQ,_xlpm.top)/DQ$72,0),0)))</f>
        <v>1.5067567567567568</v>
      </c>
      <c r="EJ65" s="85" cm="1">
        <f t="array" ref="EJ6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IF(_xlpm.bot=_xlpm.top,0,IF(DR$72,IF(SUM(_xlfn._xlws.FILTER(EA$6:EA$65,(_xlpm.r&gt;_xlpm.top)*(_xlpm.r&lt;_xlpm.bot))),1/SUM(_xlfn._xlws.FILTER(EA$6:EA$65,(_xlpm.r&gt;_xlpm.top)*(_xlpm.r&lt;_xlpm.bot)))*EA$72*INDEX(DR:DR,_xlpm.top)/DR$72,0),0)))</f>
        <v>0.93162561576354685</v>
      </c>
      <c r="EK65" s="85" cm="1">
        <f t="array" ref="EK6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IF(_xlpm.bot=_xlpm.top,0,IF(DS$72,IF(SUM(_xlfn._xlws.FILTER(EB$6:EB$65,(_xlpm.r&gt;_xlpm.top)*(_xlpm.r&lt;_xlpm.bot))),1/SUM(_xlfn._xlws.FILTER(EB$6:EB$65,(_xlpm.r&gt;_xlpm.top)*(_xlpm.r&lt;_xlpm.bot)))*EB$72*INDEX(DS:DS,_xlpm.top)/DS$72,0),0)))</f>
        <v>0</v>
      </c>
      <c r="EL65" s="85" cm="1">
        <f t="array" ref="EL6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IF(_xlpm.bot=_xlpm.top,0,IF(DT$72,IF(SUM(_xlfn._xlws.FILTER(EC$6:EC$65,(_xlpm.r&gt;_xlpm.top)*(_xlpm.r&lt;_xlpm.bot))),1/SUM(_xlfn._xlws.FILTER(EC$6:EC$65,(_xlpm.r&gt;_xlpm.top)*(_xlpm.r&lt;_xlpm.bot)))*EC$72*INDEX(DT:DT,_xlpm.top)/DT$72,0),0)))</f>
        <v>0</v>
      </c>
      <c r="EM65" s="85" cm="1">
        <f t="array" ref="EM6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IF(_xlpm.bot=_xlpm.top,0,IF(DU$72,IF(SUM(_xlfn._xlws.FILTER(ED$6:ED$65,(_xlpm.r&gt;_xlpm.top)*(_xlpm.r&lt;_xlpm.bot))),1/SUM(_xlfn._xlws.FILTER(ED$6:ED$65,(_xlpm.r&gt;_xlpm.top)*(_xlpm.r&lt;_xlpm.bot)))*ED$72*INDEX(DU:DU,_xlpm.top)/DU$72,0),0)))</f>
        <v>0</v>
      </c>
      <c r="EN65" s="85" cm="1">
        <f t="array" ref="EN6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IF(_xlpm.bot=_xlpm.top,0,IF(DV$72,IF(SUM(_xlfn._xlws.FILTER(EE$6:EE$65,(_xlpm.r&gt;_xlpm.top)*(_xlpm.r&lt;_xlpm.bot))),1/SUM(_xlfn._xlws.FILTER(EE$6:EE$65,(_xlpm.r&gt;_xlpm.top)*(_xlpm.r&lt;_xlpm.bot)))*EE$72*INDEX(DV:DV,_xlpm.top)/DV$72,0),0)))</f>
        <v>0</v>
      </c>
      <c r="EO65" s="85"/>
      <c r="EQ65" s="61">
        <f t="shared" si="56"/>
        <v>60</v>
      </c>
      <c r="ER65" s="62">
        <f>IF($A65&lt;&gt;"x",$P65*SUMIFS($AF65:$DK65,$AF$4:$DK$4,Jahresscheiben!C$2),0)</f>
        <v>0</v>
      </c>
      <c r="ES65" s="62">
        <f>IF($A65&lt;&gt;"x",$P65*SUMIFS($AF65:$DK65,$AF$4:$DK$4,Jahresscheiben!D$2),0)</f>
        <v>0</v>
      </c>
      <c r="ET65" s="62">
        <f>IF($A65&lt;&gt;"x",$P65*SUMIFS($AF65:$DK65,$AF$4:$DK$4,Jahresscheiben!E$2),0)</f>
        <v>0</v>
      </c>
      <c r="EU65" s="62">
        <f>IF($A65&lt;&gt;"x",$P65*SUMIFS($AF65:$DK65,$AF$4:$DK$4,Jahresscheiben!F$2),0)</f>
        <v>0</v>
      </c>
      <c r="EV65" s="62">
        <f>IF($A65&lt;&gt;"x",$P65*SUMIFS($AF65:$DK65,$AF$4:$DK$4,Jahresscheiben!G$2),0)</f>
        <v>0</v>
      </c>
      <c r="EW65" s="62">
        <f>IF($A65&lt;&gt;"x",$P65*SUMIFS($AF65:$DK65,$AF$4:$DK$4,Jahresscheiben!H$2),0)</f>
        <v>0</v>
      </c>
      <c r="EX65" s="62">
        <f>IF($A65&lt;&gt;"x",$P65*SUMIFS($AF65:$DK65,$AF$4:$DK$4,Jahresscheiben!I$2),0)</f>
        <v>0</v>
      </c>
      <c r="EY65" s="85"/>
      <c r="EZ65" s="61">
        <f t="shared" si="57"/>
        <v>60</v>
      </c>
      <c r="FA65" s="85">
        <f>IF($A65="x",$P65*SUMIFS($AF65:$DK65,$AF$4:$DK$4,Jahresscheiben!C$2)/2,0)</f>
        <v>0</v>
      </c>
      <c r="FB65" s="85">
        <f>IF($A65="x",$P65*SUMIFS($AF65:$DK65,$AF$4:$DK$4,Jahresscheiben!D$2)/2,0)</f>
        <v>0</v>
      </c>
      <c r="FC65" s="85">
        <f>IF($A65="x",$P65*SUMIFS($AF65:$DK65,$AF$4:$DK$4,Jahresscheiben!E$2)/2,0)</f>
        <v>0</v>
      </c>
      <c r="FD65" s="85">
        <f>IF($A65="x",$P65*SUMIFS($AF65:$DK65,$AF$4:$DK$4,Jahresscheiben!F$2)/2,0)</f>
        <v>0</v>
      </c>
      <c r="FE65" s="85">
        <f>IF($A65="x",$P65*SUMIFS($AF65:$DK65,$AF$4:$DK$4,Jahresscheiben!G$2)/2,0)</f>
        <v>0</v>
      </c>
      <c r="FF65" s="85">
        <f>IF($A65="x",$P65*SUMIFS($AF65:$DK65,$AF$4:$DK$4,Jahresscheiben!H$2)/2,0)</f>
        <v>0</v>
      </c>
      <c r="FG65" s="85">
        <f>IF($A65="x",$P65*SUMIFS($AF65:$DK65,$AF$4:$DK$4,Jahresscheiben!I$2)/2,0)</f>
        <v>0</v>
      </c>
      <c r="FH65" s="85"/>
      <c r="FI65" s="61">
        <f t="shared" si="58"/>
        <v>60</v>
      </c>
      <c r="FJ65" s="85" cm="1">
        <f t="array" ref="FJ6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IF(_xlpm.bot=_xlpm.top,0,IF(ER$72,IF(SUM(_xlfn._xlws.FILTER(FA$6:FA$65,(_xlpm.r&gt;_xlpm.top)*(_xlpm.r&lt;_xlpm.bot))),1/SUM(_xlfn._xlws.FILTER(FA$6:FA$65,(_xlpm.r&gt;_xlpm.top)*(_xlpm.r&lt;_xlpm.bot)))*FA$72*INDEX(ER:ER,_xlpm.top)/ER$72,0),0)))</f>
        <v>0</v>
      </c>
      <c r="FK65" s="85" cm="1">
        <f t="array" ref="FK6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IF(_xlpm.bot=_xlpm.top,0,IF(ES$72,IF(SUM(_xlfn._xlws.FILTER(FB$6:FB$65,(_xlpm.r&gt;_xlpm.top)*(_xlpm.r&lt;_xlpm.bot))),1/SUM(_xlfn._xlws.FILTER(FB$6:FB$65,(_xlpm.r&gt;_xlpm.top)*(_xlpm.r&lt;_xlpm.bot)))*FB$72*INDEX(ES:ES,_xlpm.top)/ES$72,0),0)))</f>
        <v>1.5067567567567568</v>
      </c>
      <c r="FL65" s="85" cm="1">
        <f t="array" ref="FL6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IF(_xlpm.bot=_xlpm.top,0,IF(ET$72,IF(SUM(_xlfn._xlws.FILTER(FC$6:FC$65,(_xlpm.r&gt;_xlpm.top)*(_xlpm.r&lt;_xlpm.bot))),1/SUM(_xlfn._xlws.FILTER(FC$6:FC$65,(_xlpm.r&gt;_xlpm.top)*(_xlpm.r&lt;_xlpm.bot)))*FC$72*INDEX(ET:ET,_xlpm.top)/ET$72,0),0)))</f>
        <v>0.93162561576354685</v>
      </c>
      <c r="FM65" s="85" cm="1">
        <f t="array" ref="FM6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IF(_xlpm.bot=_xlpm.top,0,IF(EU$72,IF(SUM(_xlfn._xlws.FILTER(FD$6:FD$65,(_xlpm.r&gt;_xlpm.top)*(_xlpm.r&lt;_xlpm.bot))),1/SUM(_xlfn._xlws.FILTER(FD$6:FD$65,(_xlpm.r&gt;_xlpm.top)*(_xlpm.r&lt;_xlpm.bot)))*FD$72*INDEX(EU:EU,_xlpm.top)/EU$72,0),0)))</f>
        <v>0</v>
      </c>
      <c r="FN65" s="85" cm="1">
        <f t="array" ref="FN6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IF(_xlpm.bot=_xlpm.top,0,IF(EV$72,IF(SUM(_xlfn._xlws.FILTER(FE$6:FE$65,(_xlpm.r&gt;_xlpm.top)*(_xlpm.r&lt;_xlpm.bot))),1/SUM(_xlfn._xlws.FILTER(FE$6:FE$65,(_xlpm.r&gt;_xlpm.top)*(_xlpm.r&lt;_xlpm.bot)))*FE$72*INDEX(EV:EV,_xlpm.top)/EV$72,0),0)))</f>
        <v>0</v>
      </c>
      <c r="FO65" s="85" cm="1">
        <f t="array" ref="FO6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IF(_xlpm.bot=_xlpm.top,0,IF(EW$72,IF(SUM(_xlfn._xlws.FILTER(FF$6:FF$65,(_xlpm.r&gt;_xlpm.top)*(_xlpm.r&lt;_xlpm.bot))),1/SUM(_xlfn._xlws.FILTER(FF$6:FF$65,(_xlpm.r&gt;_xlpm.top)*(_xlpm.r&lt;_xlpm.bot)))*FF$72*INDEX(EW:EW,_xlpm.top)/EW$72,0),0)))</f>
        <v>0</v>
      </c>
      <c r="FP65" s="85" cm="1">
        <f t="array" ref="FP65">_xlfn.LET(_xlpm.r,ROW($A$6:$A$65),
     _xlpm.i,ROW(),
     _xlpm.top,MAX(_xlfn._xlws.FILTER(_xlpm.r,($A$6:$A$65&lt;&gt;"x")*(_xlpm.r&lt;=_xlpm.i))),
     _xlpm.tmp,MIN(_xlfn._xlws.FILTER(_xlpm.r,($A$6:$A$65&lt;&gt;"x")*(_xlpm.r&gt;=_xlpm.i))),
    _xlpm.bot,IF(ISERROR(_xlpm.tmp),MAX(_xlpm.r),_xlpm.tmp),
     IF(_xlpm.bot=_xlpm.top,0,IF(EX$72,IF(SUM(_xlfn._xlws.FILTER(FG$6:FG$65,(_xlpm.r&gt;_xlpm.top)*(_xlpm.r&lt;_xlpm.bot))),1/SUM(_xlfn._xlws.FILTER(FG$6:FG$65,(_xlpm.r&gt;_xlpm.top)*(_xlpm.r&lt;_xlpm.bot)))*FG$72*INDEX(EX:EX,_xlpm.top)/EX$72,0),0)))</f>
        <v>0</v>
      </c>
    </row>
    <row r="66" spans="1:172" x14ac:dyDescent="0.5">
      <c r="DO66" s="61"/>
      <c r="DP66" s="61"/>
      <c r="DQ66" s="61"/>
      <c r="DR66" s="61"/>
      <c r="DS66" s="61"/>
      <c r="DT66" s="61"/>
      <c r="DU66" s="61"/>
      <c r="DV66" s="61"/>
      <c r="DW66" s="85"/>
      <c r="DX66" s="85"/>
      <c r="DY66" s="85"/>
      <c r="DZ66" s="85"/>
      <c r="EA66" s="85"/>
      <c r="EB66" s="85"/>
      <c r="EC66" s="85"/>
      <c r="ED66" s="85"/>
      <c r="EE66" s="85"/>
      <c r="EF66" s="85"/>
      <c r="EG66" s="85"/>
      <c r="EH66" s="85"/>
      <c r="EI66" s="85"/>
      <c r="EJ66" s="85"/>
      <c r="EK66" s="85"/>
      <c r="EL66" s="85"/>
      <c r="EM66" s="85"/>
      <c r="EN66" s="85"/>
      <c r="EO66" s="85"/>
      <c r="EQ66" s="61"/>
      <c r="ER66" s="61"/>
      <c r="ES66" s="61"/>
      <c r="ET66" s="61"/>
      <c r="EU66" s="61"/>
      <c r="EV66" s="61"/>
      <c r="EW66" s="61"/>
      <c r="EX66" s="61"/>
      <c r="EY66" s="85"/>
      <c r="EZ66" s="85"/>
      <c r="FA66" s="85"/>
      <c r="FB66" s="85"/>
      <c r="FC66" s="85"/>
      <c r="FD66" s="85"/>
      <c r="FE66" s="85"/>
      <c r="FF66" s="85"/>
      <c r="FG66" s="85"/>
      <c r="FH66" s="85"/>
      <c r="FI66" s="85"/>
      <c r="FJ66" s="85"/>
      <c r="FK66" s="85"/>
      <c r="FL66" s="85"/>
      <c r="FM66" s="85"/>
      <c r="FN66" s="85"/>
      <c r="FO66" s="85"/>
      <c r="FP66" s="85"/>
    </row>
    <row r="67" spans="1:172" x14ac:dyDescent="0.5">
      <c r="G67" s="3"/>
      <c r="DO67" s="61"/>
      <c r="DP67" s="61"/>
      <c r="DQ67" s="61"/>
      <c r="DR67" s="61"/>
      <c r="DS67" s="61"/>
      <c r="DT67" s="61"/>
      <c r="DU67" s="61"/>
      <c r="DV67" s="61"/>
      <c r="DW67" s="85"/>
      <c r="DX67" s="85"/>
      <c r="DY67" s="85"/>
      <c r="DZ67" s="85"/>
      <c r="EA67" s="85"/>
      <c r="EB67" s="85"/>
      <c r="EC67" s="85"/>
      <c r="ED67" s="85"/>
      <c r="EE67" s="85"/>
      <c r="EF67" s="85"/>
      <c r="EG67" s="85"/>
      <c r="EH67" s="85"/>
      <c r="EI67" s="85"/>
      <c r="EJ67" s="85"/>
      <c r="EK67" s="85"/>
      <c r="EL67" s="85"/>
      <c r="EM67" s="85"/>
      <c r="EN67" s="85"/>
      <c r="EO67" s="85"/>
      <c r="EQ67" s="61"/>
      <c r="ER67" s="61"/>
      <c r="ES67" s="61"/>
      <c r="ET67" s="61"/>
      <c r="EU67" s="61"/>
      <c r="EV67" s="61"/>
      <c r="EW67" s="61"/>
      <c r="EX67" s="61"/>
      <c r="EY67" s="85"/>
      <c r="EZ67" s="85"/>
      <c r="FA67" s="85"/>
      <c r="FB67" s="85"/>
      <c r="FC67" s="85"/>
      <c r="FD67" s="85"/>
      <c r="FE67" s="85"/>
      <c r="FF67" s="85"/>
      <c r="FG67" s="85"/>
      <c r="FH67" s="85"/>
      <c r="FI67" s="85"/>
      <c r="FJ67" s="85"/>
      <c r="FK67" s="85"/>
      <c r="FL67" s="85"/>
      <c r="FM67" s="85"/>
      <c r="FN67" s="85"/>
      <c r="FO67" s="85"/>
      <c r="FP67" s="85"/>
    </row>
    <row r="68" spans="1:172" x14ac:dyDescent="0.5">
      <c r="G68" s="3"/>
      <c r="DO68" s="61"/>
      <c r="DP68" s="61"/>
      <c r="DQ68" s="61"/>
      <c r="DR68" s="61"/>
      <c r="DS68" s="61"/>
      <c r="DT68" s="61"/>
      <c r="DU68" s="61"/>
      <c r="DV68" s="61"/>
      <c r="DW68" s="85"/>
      <c r="DX68" s="85"/>
      <c r="DY68" s="85"/>
      <c r="DZ68" s="85"/>
      <c r="EA68" s="85"/>
      <c r="EB68" s="85"/>
      <c r="EC68" s="85"/>
      <c r="ED68" s="85"/>
      <c r="EE68" s="85"/>
      <c r="EF68" s="85"/>
      <c r="EG68" s="85"/>
      <c r="EH68" s="85"/>
      <c r="EI68" s="85"/>
      <c r="EJ68" s="85"/>
      <c r="EK68" s="85"/>
      <c r="EL68" s="85"/>
      <c r="EM68" s="85"/>
      <c r="EN68" s="85"/>
      <c r="EO68" s="85"/>
      <c r="EQ68" s="61"/>
      <c r="ER68" s="61"/>
      <c r="ES68" s="61"/>
      <c r="ET68" s="61"/>
      <c r="EU68" s="61"/>
      <c r="EV68" s="61"/>
      <c r="EW68" s="61"/>
      <c r="EX68" s="61"/>
      <c r="EY68" s="85"/>
      <c r="EZ68" s="85"/>
      <c r="FA68" s="85"/>
      <c r="FB68" s="85"/>
      <c r="FC68" s="85"/>
      <c r="FD68" s="85"/>
      <c r="FE68" s="85"/>
      <c r="FF68" s="85"/>
      <c r="FG68" s="85"/>
      <c r="FH68" s="85"/>
      <c r="FI68" s="85"/>
      <c r="FJ68" s="85"/>
      <c r="FK68" s="85"/>
      <c r="FL68" s="85"/>
      <c r="FM68" s="85"/>
      <c r="FN68" s="85"/>
      <c r="FO68" s="85"/>
      <c r="FP68" s="85"/>
    </row>
    <row r="69" spans="1:172" x14ac:dyDescent="0.5">
      <c r="G69" s="3"/>
      <c r="DO69" s="61"/>
      <c r="DP69" s="61"/>
      <c r="DQ69" s="61"/>
      <c r="DR69" s="61"/>
      <c r="DS69" s="61"/>
      <c r="DT69" s="61"/>
      <c r="DU69" s="61"/>
      <c r="DV69" s="61"/>
      <c r="DW69" s="85"/>
      <c r="DX69" s="85"/>
      <c r="DY69" s="85"/>
      <c r="DZ69" s="85"/>
      <c r="EA69" s="85"/>
      <c r="EB69" s="85"/>
      <c r="EC69" s="85"/>
      <c r="ED69" s="85"/>
      <c r="EE69" s="85"/>
      <c r="EF69" s="85"/>
      <c r="EG69" s="85"/>
      <c r="EH69" s="85"/>
      <c r="EI69" s="85"/>
      <c r="EJ69" s="85"/>
      <c r="EK69" s="85"/>
      <c r="EL69" s="85"/>
      <c r="EM69" s="85"/>
      <c r="EN69" s="85"/>
      <c r="EO69" s="85"/>
      <c r="EQ69" s="61"/>
      <c r="ER69" s="61"/>
      <c r="ES69" s="61"/>
      <c r="ET69" s="61"/>
      <c r="EU69" s="61"/>
      <c r="EV69" s="61"/>
      <c r="EW69" s="61"/>
      <c r="EX69" s="61"/>
      <c r="EY69" s="85"/>
      <c r="EZ69" s="85"/>
      <c r="FA69" s="85"/>
      <c r="FB69" s="85"/>
      <c r="FC69" s="85"/>
      <c r="FD69" s="85"/>
      <c r="FE69" s="85"/>
      <c r="FF69" s="85"/>
      <c r="FG69" s="85"/>
      <c r="FH69" s="85"/>
      <c r="FI69" s="85"/>
      <c r="FJ69" s="85"/>
      <c r="FK69" s="85"/>
      <c r="FL69" s="85"/>
      <c r="FM69" s="85"/>
      <c r="FN69" s="85"/>
      <c r="FO69" s="85"/>
      <c r="FP69" s="85"/>
    </row>
    <row r="70" spans="1:172" ht="26.5" thickBot="1" x14ac:dyDescent="0.55000000000000004">
      <c r="G70" s="3"/>
      <c r="L70" s="80" t="s">
        <v>10</v>
      </c>
      <c r="M70" s="81"/>
      <c r="N70" s="81"/>
      <c r="O70" s="82"/>
      <c r="P70" s="80" t="s">
        <v>11</v>
      </c>
      <c r="Q70" s="81"/>
      <c r="R70" s="81"/>
      <c r="DO70" s="61"/>
      <c r="DP70" s="61"/>
      <c r="DQ70" s="61"/>
      <c r="DR70" s="61"/>
      <c r="DS70" s="61"/>
      <c r="DT70" s="61"/>
      <c r="DU70" s="61"/>
      <c r="DV70" s="61"/>
      <c r="DW70" s="85"/>
      <c r="DX70" s="85"/>
      <c r="DY70" s="85"/>
      <c r="DZ70" s="85"/>
      <c r="EA70" s="85"/>
      <c r="EB70" s="85"/>
      <c r="EC70" s="85"/>
      <c r="ED70" s="85"/>
      <c r="EE70" s="85"/>
      <c r="EF70" s="85"/>
      <c r="EG70" s="85"/>
      <c r="EH70" s="85"/>
      <c r="EI70" s="85"/>
      <c r="EJ70" s="85"/>
      <c r="EK70" s="85"/>
      <c r="EL70" s="85"/>
      <c r="EM70" s="85"/>
      <c r="EN70" s="85"/>
      <c r="EO70" s="85"/>
      <c r="EQ70" s="61"/>
      <c r="ER70" s="61"/>
      <c r="ES70" s="61"/>
      <c r="ET70" s="61"/>
      <c r="EU70" s="61"/>
      <c r="EV70" s="61"/>
      <c r="EW70" s="61"/>
      <c r="EX70" s="61"/>
      <c r="EY70" s="85"/>
      <c r="EZ70" s="85"/>
      <c r="FA70" s="85"/>
      <c r="FB70" s="85"/>
      <c r="FC70" s="85"/>
      <c r="FD70" s="85"/>
      <c r="FE70" s="85"/>
      <c r="FF70" s="85"/>
      <c r="FG70" s="85"/>
      <c r="FH70" s="85"/>
      <c r="FI70" s="85"/>
      <c r="FJ70" s="85"/>
      <c r="FK70" s="85"/>
      <c r="FL70" s="85"/>
      <c r="FM70" s="85"/>
      <c r="FN70" s="85"/>
      <c r="FO70" s="85"/>
      <c r="FP70" s="85"/>
    </row>
    <row r="71" spans="1:172" ht="18.5" thickBot="1" x14ac:dyDescent="0.55000000000000004">
      <c r="G71" s="3"/>
      <c r="L71" s="57" t="s">
        <v>25</v>
      </c>
      <c r="M71" s="53" t="str" cm="1">
        <f t="array" ref="M71" xml:space="preserve">
_xlfn.LET(
_xlpm.Z, SUM(_xlfn._xlws.FILTER($M$6:$M$65,$A$6:$A$65&lt;&gt;"x")),
IF(_xlpm.Z&lt;&gt;0,_xlpm.Z,""))</f>
        <v/>
      </c>
      <c r="N71" s="54" t="str" cm="1">
        <f t="array" ref="N71" xml:space="preserve">
_xlfn.LET(
_xlpm.Z, SUM(_xlfn._xlws.FILTER($N$6:$N$65,$A$6:$A$65&lt;&gt;"x")),
IF(_xlpm.Z&lt;&gt;0,_xlpm.Z,""))</f>
        <v/>
      </c>
      <c r="P71" s="57" t="s">
        <v>25</v>
      </c>
      <c r="Q71" s="53" t="str" cm="1">
        <f t="array" ref="Q71" xml:space="preserve">
_xlfn.LET(
_xlpm.Z, SUM(_xlfn._xlws.FILTER($Q$6:$Q$65,$A$6:$A$65&lt;&gt;"x")),
IF(_xlpm.Z&lt;&gt;0,_xlpm.Z,""))</f>
        <v/>
      </c>
      <c r="R71" s="54" t="str" cm="1">
        <f t="array" ref="R71" xml:space="preserve">
_xlfn.LET(
_xlpm.Z, SUM(_xlfn._xlws.FILTER($R$6:$R$65,$A$6:$A$65&lt;&gt;"x")),
IF(_xlpm.Z&lt;&gt;0,_xlpm.Z,""))</f>
        <v/>
      </c>
      <c r="DO71" s="61"/>
      <c r="DP71" s="61">
        <f>Jahresscheiben!C$2</f>
        <v>2026</v>
      </c>
      <c r="DQ71" s="61">
        <f>Jahresscheiben!D$2</f>
        <v>2027</v>
      </c>
      <c r="DR71" s="61">
        <f>Jahresscheiben!E$2</f>
        <v>2028</v>
      </c>
      <c r="DS71" s="61">
        <f>Jahresscheiben!F$2</f>
        <v>2029</v>
      </c>
      <c r="DT71" s="61">
        <f>Jahresscheiben!G$2</f>
        <v>2030</v>
      </c>
      <c r="DU71" s="61">
        <f>Jahresscheiben!H$2</f>
        <v>2031</v>
      </c>
      <c r="DV71" s="61">
        <f>Jahresscheiben!I$2</f>
        <v>2032</v>
      </c>
      <c r="DW71" s="85"/>
      <c r="DX71" s="85"/>
      <c r="DY71" s="85">
        <f>Jahresscheiben!C$2</f>
        <v>2026</v>
      </c>
      <c r="DZ71" s="85">
        <f>Jahresscheiben!D$2</f>
        <v>2027</v>
      </c>
      <c r="EA71" s="85">
        <f>Jahresscheiben!E$2</f>
        <v>2028</v>
      </c>
      <c r="EB71" s="85">
        <f>Jahresscheiben!F$2</f>
        <v>2029</v>
      </c>
      <c r="EC71" s="85">
        <f>Jahresscheiben!G$2</f>
        <v>2030</v>
      </c>
      <c r="ED71" s="85">
        <f>Jahresscheiben!H$2</f>
        <v>2031</v>
      </c>
      <c r="EE71" s="85">
        <f>Jahresscheiben!I$2</f>
        <v>2032</v>
      </c>
      <c r="EF71" s="85"/>
      <c r="EG71" s="85"/>
      <c r="EH71" s="85"/>
      <c r="EI71" s="85"/>
      <c r="EJ71" s="85"/>
      <c r="EK71" s="85"/>
      <c r="EL71" s="85"/>
      <c r="EM71" s="85"/>
      <c r="EN71" s="85"/>
      <c r="EO71" s="85"/>
      <c r="EQ71" s="61"/>
      <c r="ER71" s="61">
        <f>Jahresscheiben!AE$2</f>
        <v>0</v>
      </c>
      <c r="ES71" s="61">
        <f>Jahresscheiben!AF$2</f>
        <v>0</v>
      </c>
      <c r="ET71" s="61">
        <f>Jahresscheiben!AG$2</f>
        <v>0</v>
      </c>
      <c r="EU71" s="61">
        <f>Jahresscheiben!AH$2</f>
        <v>0</v>
      </c>
      <c r="EV71" s="61">
        <f>Jahresscheiben!AI$2</f>
        <v>0</v>
      </c>
      <c r="EW71" s="61">
        <f>Jahresscheiben!AJ$2</f>
        <v>0</v>
      </c>
      <c r="EX71" s="61">
        <f>Jahresscheiben!AK$2</f>
        <v>0</v>
      </c>
      <c r="EY71" s="85"/>
      <c r="EZ71" s="85"/>
      <c r="FA71" s="85">
        <f>Jahresscheiben!AE$2</f>
        <v>0</v>
      </c>
      <c r="FB71" s="85">
        <f>Jahresscheiben!AF$2</f>
        <v>0</v>
      </c>
      <c r="FC71" s="85">
        <f>Jahresscheiben!AG$2</f>
        <v>0</v>
      </c>
      <c r="FD71" s="85">
        <f>Jahresscheiben!AH$2</f>
        <v>0</v>
      </c>
      <c r="FE71" s="85">
        <f>Jahresscheiben!AI$2</f>
        <v>0</v>
      </c>
      <c r="FF71" s="85">
        <f>Jahresscheiben!AJ$2</f>
        <v>0</v>
      </c>
      <c r="FG71" s="85">
        <f>Jahresscheiben!AK$2</f>
        <v>0</v>
      </c>
      <c r="FH71" s="85"/>
      <c r="FI71" s="85"/>
      <c r="FJ71" s="85"/>
      <c r="FK71" s="85"/>
      <c r="FL71" s="85"/>
      <c r="FM71" s="85"/>
      <c r="FN71" s="85"/>
      <c r="FO71" s="85"/>
      <c r="FP71" s="85"/>
    </row>
    <row r="72" spans="1:172" ht="17" customHeight="1" thickBot="1" x14ac:dyDescent="0.55000000000000004">
      <c r="G72" s="3"/>
      <c r="L72" s="58" t="s">
        <v>26</v>
      </c>
      <c r="M72" s="55" t="str" cm="1">
        <f t="array" ref="M72" xml:space="preserve">
_xlfn.LET(
_xlpm.Z, SUM(_xlfn._xlws.FILTER($M$6:$M$65,$A$6:$A$65="x")),
IF(_xlpm.Z&lt;&gt;0,_xlpm.Z,""))</f>
        <v/>
      </c>
      <c r="N72" s="56" t="str" cm="1">
        <f t="array" ref="N72" xml:space="preserve">
_xlfn.LET(
_xlpm.Z, SUM(_xlfn._xlws.FILTER($N$6:$N$65,$A$6:$A$65="x")),
IF(_xlpm.Z&lt;&gt;0,_xlpm.Z,""))</f>
        <v/>
      </c>
      <c r="P72" s="58" t="s">
        <v>26</v>
      </c>
      <c r="Q72" s="55" t="str" cm="1">
        <f t="array" ref="Q72" xml:space="preserve">
_xlfn.LET(
_xlpm.Z, SUM(_xlfn._xlws.FILTER($Q$6:$Q$65,$A$6:$A$65="x")),
IF(_xlpm.Z&lt;&gt;0,_xlpm.Z,""))</f>
        <v/>
      </c>
      <c r="R72" s="56" t="str" cm="1">
        <f t="array" ref="R72" xml:space="preserve">
_xlfn.LET(
_xlpm.Z, SUM(_xlfn._xlws.FILTER($R$6:$R$65,$A$6:$A$65="x")),
IF(_xlpm.Z&lt;&gt;0,_xlpm.Z,""))</f>
        <v/>
      </c>
      <c r="DO72" s="86" t="s">
        <v>27</v>
      </c>
      <c r="DP72" s="62">
        <f>SUM(DP6:DP65)</f>
        <v>137</v>
      </c>
      <c r="DQ72" s="61">
        <f t="shared" ref="DQ72:EE72" si="106">SUM(DQ6:DQ65)</f>
        <v>148</v>
      </c>
      <c r="DR72" s="61">
        <f t="shared" si="106"/>
        <v>116</v>
      </c>
      <c r="DS72" s="61">
        <f t="shared" si="106"/>
        <v>0</v>
      </c>
      <c r="DT72" s="61">
        <f t="shared" si="106"/>
        <v>0</v>
      </c>
      <c r="DU72" s="61">
        <f t="shared" si="106"/>
        <v>0</v>
      </c>
      <c r="DV72" s="61">
        <f t="shared" si="106"/>
        <v>0</v>
      </c>
      <c r="DW72" s="85"/>
      <c r="DX72" s="86" t="s">
        <v>27</v>
      </c>
      <c r="DY72" s="61">
        <f t="shared" si="106"/>
        <v>250</v>
      </c>
      <c r="DZ72" s="61">
        <f t="shared" si="106"/>
        <v>223</v>
      </c>
      <c r="EA72" s="61">
        <f t="shared" si="106"/>
        <v>197</v>
      </c>
      <c r="EB72" s="61">
        <f t="shared" si="106"/>
        <v>0</v>
      </c>
      <c r="EC72" s="61">
        <f t="shared" si="106"/>
        <v>0</v>
      </c>
      <c r="ED72" s="61">
        <f t="shared" si="106"/>
        <v>0</v>
      </c>
      <c r="EE72" s="61">
        <f t="shared" si="106"/>
        <v>0</v>
      </c>
      <c r="EF72" s="85"/>
      <c r="EG72" s="85"/>
      <c r="EH72" s="85"/>
      <c r="EI72" s="85"/>
      <c r="EJ72" s="85"/>
      <c r="EK72" s="85"/>
      <c r="EL72" s="85"/>
      <c r="EM72" s="85"/>
      <c r="EN72" s="85"/>
      <c r="EO72" s="85"/>
      <c r="EQ72" s="86" t="s">
        <v>27</v>
      </c>
      <c r="ER72" s="62">
        <f>SUM(ER6:ER65)</f>
        <v>137</v>
      </c>
      <c r="ES72" s="61">
        <f t="shared" ref="ES72:EX72" si="107">SUM(ES6:ES65)</f>
        <v>148</v>
      </c>
      <c r="ET72" s="61">
        <f t="shared" si="107"/>
        <v>116</v>
      </c>
      <c r="EU72" s="61">
        <f t="shared" si="107"/>
        <v>0</v>
      </c>
      <c r="EV72" s="61">
        <f t="shared" si="107"/>
        <v>0</v>
      </c>
      <c r="EW72" s="61">
        <f t="shared" si="107"/>
        <v>0</v>
      </c>
      <c r="EX72" s="61">
        <f t="shared" si="107"/>
        <v>0</v>
      </c>
      <c r="EY72" s="85"/>
      <c r="EZ72" s="86" t="s">
        <v>27</v>
      </c>
      <c r="FA72" s="61">
        <f t="shared" ref="FA72:FG72" si="108">SUM(FA6:FA65)</f>
        <v>250</v>
      </c>
      <c r="FB72" s="61">
        <f t="shared" si="108"/>
        <v>223</v>
      </c>
      <c r="FC72" s="61">
        <f t="shared" si="108"/>
        <v>197</v>
      </c>
      <c r="FD72" s="61">
        <f t="shared" si="108"/>
        <v>0</v>
      </c>
      <c r="FE72" s="61">
        <f t="shared" si="108"/>
        <v>0</v>
      </c>
      <c r="FF72" s="61">
        <f t="shared" si="108"/>
        <v>0</v>
      </c>
      <c r="FG72" s="61">
        <f t="shared" si="108"/>
        <v>0</v>
      </c>
      <c r="FH72" s="85"/>
      <c r="FI72" s="85"/>
      <c r="FJ72" s="85"/>
      <c r="FK72" s="85"/>
      <c r="FL72" s="85"/>
      <c r="FM72" s="85"/>
      <c r="FN72" s="85"/>
      <c r="FO72" s="85"/>
      <c r="FP72" s="85"/>
    </row>
    <row r="73" spans="1:172" x14ac:dyDescent="0.5">
      <c r="G73" s="3"/>
      <c r="DO73" s="61" t="s">
        <v>28</v>
      </c>
      <c r="DP73" s="62">
        <f>IF(DP72,Jahresscheiben!C$9/DP72,0)</f>
        <v>0</v>
      </c>
      <c r="DQ73" s="62">
        <f>IF(DQ72,Jahresscheiben!D$9/DQ72,0)</f>
        <v>0</v>
      </c>
      <c r="DR73" s="62">
        <f>IF(DR72,Jahresscheiben!E$9/DR72,0)</f>
        <v>0</v>
      </c>
      <c r="DS73" s="62">
        <f>IF(DS72,Jahresscheiben!F$9/DS72,0)</f>
        <v>0</v>
      </c>
      <c r="DT73" s="62">
        <f>IF(DT72,Jahresscheiben!G$9/DT72,0)</f>
        <v>0</v>
      </c>
      <c r="DU73" s="62">
        <f>IF(DU72,Jahresscheiben!H$9/DU72,0)</f>
        <v>0</v>
      </c>
      <c r="DV73" s="62">
        <f>IF(DV72,Jahresscheiben!I$9/DV72,0)</f>
        <v>0</v>
      </c>
      <c r="DW73" s="85"/>
      <c r="DX73" s="61" t="s">
        <v>29</v>
      </c>
      <c r="DY73" s="63">
        <f>IF(DY72,Jahresscheiben!C$9/DY72,0)</f>
        <v>0</v>
      </c>
      <c r="DZ73" s="63">
        <f>IF(DZ72,Jahresscheiben!D$9/DZ72,0)</f>
        <v>0</v>
      </c>
      <c r="EA73" s="63">
        <f>IF(EA72,Jahresscheiben!E$9/EA72,0)</f>
        <v>0</v>
      </c>
      <c r="EB73" s="63">
        <f>IF(EB72,Jahresscheiben!F$9/EB72,0)</f>
        <v>0</v>
      </c>
      <c r="EC73" s="63">
        <f>IF(EC72,Jahresscheiben!G$9/EC72,0)</f>
        <v>0</v>
      </c>
      <c r="ED73" s="63">
        <f>IF(ED72,Jahresscheiben!H$9/ED72,0)</f>
        <v>0</v>
      </c>
      <c r="EE73" s="63">
        <f>IF(EE72,Jahresscheiben!I$9/EE72,0)</f>
        <v>0</v>
      </c>
      <c r="EF73" s="85"/>
      <c r="EG73" s="85"/>
      <c r="EH73" s="85"/>
      <c r="EI73" s="85"/>
      <c r="EJ73" s="85"/>
      <c r="EK73" s="85"/>
      <c r="EL73" s="85"/>
      <c r="EM73" s="85"/>
      <c r="EN73" s="85"/>
      <c r="EO73" s="85"/>
      <c r="EQ73" s="61" t="s">
        <v>30</v>
      </c>
      <c r="ER73" s="62">
        <f>IF(ER72,Jahresscheiben!C$11/ER72,0)</f>
        <v>0</v>
      </c>
      <c r="ES73" s="62">
        <f>IF(ES72,Jahresscheiben!D$11/ES72,0)</f>
        <v>0</v>
      </c>
      <c r="ET73" s="62">
        <f>IF(ET72,Jahresscheiben!E$11/ET72,0)</f>
        <v>0</v>
      </c>
      <c r="EU73" s="62">
        <f>IF(EU72,Jahresscheiben!F$11/EU72,0)</f>
        <v>0</v>
      </c>
      <c r="EV73" s="62">
        <f>IF(EV72,Jahresscheiben!G$11/EV72,0)</f>
        <v>0</v>
      </c>
      <c r="EW73" s="62">
        <f>IF(EW72,Jahresscheiben!H$11/EW72,0)</f>
        <v>0</v>
      </c>
      <c r="EX73" s="62">
        <f>IF(EX72,Jahresscheiben!I$11/EX72,0)</f>
        <v>0</v>
      </c>
      <c r="EY73" s="85"/>
      <c r="EZ73" s="61" t="s">
        <v>31</v>
      </c>
      <c r="FA73" s="63">
        <f>IF(FA72,Jahresscheiben!C$11/FA72,0)</f>
        <v>0</v>
      </c>
      <c r="FB73" s="63">
        <f>IF(FB72,Jahresscheiben!D$11/FB72,0)</f>
        <v>0</v>
      </c>
      <c r="FC73" s="63">
        <f>IF(FC72,Jahresscheiben!E$11/FC72,0)</f>
        <v>0</v>
      </c>
      <c r="FD73" s="63">
        <f>IF(FD72,Jahresscheiben!F$11/FD72,0)</f>
        <v>0</v>
      </c>
      <c r="FE73" s="63">
        <f>IF(FE72,Jahresscheiben!G$11/FE72,0)</f>
        <v>0</v>
      </c>
      <c r="FF73" s="63">
        <f>IF(FF72,Jahresscheiben!H$11/FF72,0)</f>
        <v>0</v>
      </c>
      <c r="FG73" s="63">
        <f>IF(FG72,Jahresscheiben!I$11/FG72,0)</f>
        <v>0</v>
      </c>
      <c r="FH73" s="85"/>
      <c r="FI73" s="85"/>
      <c r="FJ73" s="85"/>
      <c r="FK73" s="85"/>
      <c r="FL73" s="85"/>
      <c r="FM73" s="85"/>
      <c r="FN73" s="85"/>
      <c r="FO73" s="85"/>
      <c r="FP73" s="85"/>
    </row>
    <row r="74" spans="1:172" x14ac:dyDescent="0.5">
      <c r="G74" s="3"/>
      <c r="DO74" s="61" t="s">
        <v>30</v>
      </c>
      <c r="DP74" s="85">
        <f>IF(DP72,Jahresscheiben!C$11/DP72,0)</f>
        <v>0</v>
      </c>
      <c r="DQ74" s="85">
        <f>IF(DQ72,Jahresscheiben!D$11/DQ72,0)</f>
        <v>0</v>
      </c>
      <c r="DR74" s="85">
        <f>IF(DR72,Jahresscheiben!E$11/DR72,0)</f>
        <v>0</v>
      </c>
      <c r="DS74" s="85">
        <f>IF(DS72,Jahresscheiben!F$11/DS72,0)</f>
        <v>0</v>
      </c>
      <c r="DT74" s="85">
        <f>IF(DT72,Jahresscheiben!G$11/DT72,0)</f>
        <v>0</v>
      </c>
      <c r="DU74" s="85">
        <f>IF(DU72,Jahresscheiben!H$11/DU72,0)</f>
        <v>0</v>
      </c>
      <c r="DV74" s="85">
        <f>IF(DV72,Jahresscheiben!I$11/DV72,0)</f>
        <v>0</v>
      </c>
      <c r="DW74" s="85"/>
      <c r="DX74" s="61" t="s">
        <v>31</v>
      </c>
      <c r="DY74" s="64">
        <f>IF(DY72,Jahresscheiben!C$11/DY72,0)</f>
        <v>0</v>
      </c>
      <c r="DZ74" s="64">
        <f>IF(DZ72,Jahresscheiben!D$11/DZ72,0)</f>
        <v>0</v>
      </c>
      <c r="EA74" s="64">
        <f>IF(EA72,Jahresscheiben!E$11/EA72,0)</f>
        <v>0</v>
      </c>
      <c r="EB74" s="64">
        <f>IF(EB72,Jahresscheiben!F$11/EB72,0)</f>
        <v>0</v>
      </c>
      <c r="EC74" s="64">
        <f>IF(EC72,Jahresscheiben!G$11/EC72,0)</f>
        <v>0</v>
      </c>
      <c r="ED74" s="64">
        <f>IF(ED72,Jahresscheiben!H$11/ED72,0)</f>
        <v>0</v>
      </c>
      <c r="EE74" s="64">
        <f>IF(EE72,Jahresscheiben!I$11/EE72,0)</f>
        <v>0</v>
      </c>
      <c r="EF74" s="85"/>
      <c r="EG74" s="85"/>
      <c r="EH74" s="85"/>
      <c r="EI74" s="85"/>
      <c r="EJ74" s="85"/>
      <c r="EK74" s="85"/>
      <c r="EL74" s="85"/>
      <c r="EM74" s="85"/>
      <c r="EN74" s="85"/>
      <c r="EO74" s="85"/>
      <c r="EQ74" s="61"/>
      <c r="ER74" s="85"/>
      <c r="ES74" s="85"/>
      <c r="ET74" s="85"/>
      <c r="EU74" s="85"/>
      <c r="EV74" s="85"/>
      <c r="EW74" s="85"/>
      <c r="EX74" s="85"/>
      <c r="EY74" s="85"/>
      <c r="EZ74" s="61"/>
      <c r="FA74" s="64"/>
      <c r="FB74" s="64"/>
      <c r="FC74" s="64"/>
      <c r="FD74" s="64"/>
      <c r="FE74" s="64"/>
      <c r="FF74" s="64"/>
      <c r="FG74" s="64"/>
      <c r="FH74" s="85"/>
      <c r="FI74" s="85"/>
      <c r="FJ74" s="85"/>
      <c r="FK74" s="85"/>
      <c r="FL74" s="85"/>
      <c r="FM74" s="85"/>
      <c r="FN74" s="85"/>
      <c r="FO74" s="85"/>
      <c r="FP74" s="85"/>
    </row>
    <row r="75" spans="1:172" x14ac:dyDescent="0.5">
      <c r="G75" s="3"/>
    </row>
    <row r="76" spans="1:172" x14ac:dyDescent="0.5">
      <c r="G76" s="3"/>
    </row>
    <row r="77" spans="1:172" x14ac:dyDescent="0.5">
      <c r="G77" s="3"/>
      <c r="DP77" s="59"/>
      <c r="DQ77" s="59"/>
      <c r="DR77" s="59"/>
      <c r="DS77" s="59"/>
      <c r="DT77" s="59"/>
      <c r="DU77" s="59"/>
      <c r="DV77" s="59"/>
    </row>
    <row r="78" spans="1:172" x14ac:dyDescent="0.5">
      <c r="G78" s="3"/>
    </row>
    <row r="79" spans="1:172" x14ac:dyDescent="0.5">
      <c r="G79" s="3"/>
    </row>
    <row r="80" spans="1:172" x14ac:dyDescent="0.5">
      <c r="G80" s="3"/>
    </row>
    <row r="81" spans="7:7" x14ac:dyDescent="0.5">
      <c r="G81" s="3"/>
    </row>
    <row r="82" spans="7:7" x14ac:dyDescent="0.5">
      <c r="G82" s="3"/>
    </row>
    <row r="83" spans="7:7" x14ac:dyDescent="0.5">
      <c r="G83" s="3"/>
    </row>
    <row r="84" spans="7:7" x14ac:dyDescent="0.5">
      <c r="G84" s="3"/>
    </row>
    <row r="85" spans="7:7" x14ac:dyDescent="0.5">
      <c r="G85" s="3"/>
    </row>
    <row r="86" spans="7:7" x14ac:dyDescent="0.5">
      <c r="G86" s="3"/>
    </row>
    <row r="87" spans="7:7" x14ac:dyDescent="0.5">
      <c r="G87" s="3"/>
    </row>
    <row r="88" spans="7:7" x14ac:dyDescent="0.5">
      <c r="G88" s="3"/>
    </row>
    <row r="89" spans="7:7" x14ac:dyDescent="0.5"/>
    <row r="90" spans="7:7" x14ac:dyDescent="0.5"/>
    <row r="91" spans="7:7" x14ac:dyDescent="0.5"/>
    <row r="92" spans="7:7" x14ac:dyDescent="0.5"/>
    <row r="93" spans="7:7" x14ac:dyDescent="0.5"/>
    <row r="94" spans="7:7" x14ac:dyDescent="0.5"/>
  </sheetData>
  <autoFilter ref="A1:G65" xr:uid="{0042153D-FFDB-D544-B9F8-BE2750E8EABD}">
    <filterColumn colId="3" showButton="0"/>
    <filterColumn colId="4" hiddenButton="1" showButton="0"/>
    <filterColumn colId="5" showButton="0"/>
  </autoFilter>
  <mergeCells count="16">
    <mergeCell ref="T1:T4"/>
    <mergeCell ref="B3:B5"/>
    <mergeCell ref="A3:A5"/>
    <mergeCell ref="C3:C5"/>
    <mergeCell ref="D1:G1"/>
    <mergeCell ref="D2:G2"/>
    <mergeCell ref="U1:U4"/>
    <mergeCell ref="AD1:AD4"/>
    <mergeCell ref="V1:V4"/>
    <mergeCell ref="W1:W4"/>
    <mergeCell ref="X1:X4"/>
    <mergeCell ref="Y1:Y4"/>
    <mergeCell ref="Z1:Z4"/>
    <mergeCell ref="AA1:AA4"/>
    <mergeCell ref="AB1:AB4"/>
    <mergeCell ref="AC1:AC4"/>
  </mergeCells>
  <conditionalFormatting sqref="B6:B65">
    <cfRule type="expression" dxfId="12" priority="376">
      <formula>LEN(D6)&gt;150</formula>
    </cfRule>
  </conditionalFormatting>
  <conditionalFormatting sqref="D6:AE65">
    <cfRule type="expression" dxfId="11" priority="18">
      <formula>$A6="x"</formula>
    </cfRule>
    <cfRule type="expression" dxfId="10" priority="19">
      <formula>$A6=""</formula>
    </cfRule>
  </conditionalFormatting>
  <conditionalFormatting sqref="AF4:DK4">
    <cfRule type="expression" dxfId="9" priority="374" stopIfTrue="1">
      <formula>AE4=AF4</formula>
    </cfRule>
  </conditionalFormatting>
  <conditionalFormatting sqref="AF6:DK65">
    <cfRule type="expression" dxfId="8" priority="21">
      <formula>AF6=1</formula>
    </cfRule>
    <cfRule type="expression" dxfId="7" priority="22">
      <formula>AF6=2</formula>
    </cfRule>
  </conditionalFormatting>
  <conditionalFormatting sqref="DP6:DV65 DY6:EE65">
    <cfRule type="cellIs" dxfId="6" priority="6" operator="notEqual">
      <formula>0</formula>
    </cfRule>
  </conditionalFormatting>
  <conditionalFormatting sqref="ER6:EX65 FA6:FG65">
    <cfRule type="cellIs" dxfId="5" priority="4" operator="notEqual">
      <formula>0</formula>
    </cfRule>
  </conditionalFormatting>
  <dataValidations count="1">
    <dataValidation type="list" allowBlank="1" showInputMessage="1" showErrorMessage="1" sqref="D2" xr:uid="{1DA753BC-7FC1-D048-A7BB-787D8DA3B58B}">
      <formula1>#REF!</formula1>
    </dataValidation>
  </dataValidations>
  <pageMargins left="0.7" right="0.7" top="0.75" bottom="0.75" header="0.3" footer="0.3"/>
  <pageSetup paperSize="9" scale="26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1DFE-ACC5-C741-8A7D-8049C619C1F6}">
  <dimension ref="A1:N19"/>
  <sheetViews>
    <sheetView workbookViewId="0">
      <selection activeCell="C2" sqref="C2"/>
    </sheetView>
  </sheetViews>
  <sheetFormatPr baseColWidth="10" defaultColWidth="11.36328125" defaultRowHeight="13" x14ac:dyDescent="0.3"/>
  <cols>
    <col min="2" max="2" width="48.36328125" customWidth="1"/>
  </cols>
  <sheetData>
    <row r="1" spans="1:10" ht="60" customHeight="1" thickBot="1" x14ac:dyDescent="0.35">
      <c r="A1" s="68"/>
      <c r="B1" s="69" t="s">
        <v>32</v>
      </c>
      <c r="C1" s="68"/>
      <c r="D1" s="68"/>
      <c r="E1" s="68"/>
      <c r="F1" s="68"/>
      <c r="G1" s="68"/>
      <c r="H1" s="68"/>
      <c r="I1" s="68"/>
      <c r="J1" s="68"/>
    </row>
    <row r="2" spans="1:10" ht="14.5" x14ac:dyDescent="0.35">
      <c r="A2" s="49" t="s">
        <v>33</v>
      </c>
      <c r="B2" s="32" t="s">
        <v>34</v>
      </c>
      <c r="C2" s="87">
        <f>YEAR(Project_Start)</f>
        <v>2026</v>
      </c>
      <c r="D2" s="75">
        <f t="shared" ref="D2" si="0">C2+1</f>
        <v>2027</v>
      </c>
      <c r="E2" s="75">
        <f t="shared" ref="E2" si="1">D2+1</f>
        <v>2028</v>
      </c>
      <c r="F2" s="75">
        <f t="shared" ref="F2" si="2">E2+1</f>
        <v>2029</v>
      </c>
      <c r="G2" s="75">
        <f t="shared" ref="G2" si="3">F2+1</f>
        <v>2030</v>
      </c>
      <c r="H2" s="75">
        <f t="shared" ref="H2" si="4">G2+1</f>
        <v>2031</v>
      </c>
      <c r="I2" s="75">
        <f t="shared" ref="I2" si="5">H2+1</f>
        <v>2032</v>
      </c>
      <c r="J2" s="68"/>
    </row>
    <row r="3" spans="1:10" ht="14.5" x14ac:dyDescent="0.35">
      <c r="A3" s="49" t="s">
        <v>35</v>
      </c>
      <c r="B3" s="34" t="s">
        <v>36</v>
      </c>
      <c r="C3" s="35"/>
      <c r="D3" s="35"/>
      <c r="E3" s="35"/>
      <c r="F3" s="35"/>
      <c r="G3" s="35"/>
      <c r="H3" s="35"/>
      <c r="I3" s="36"/>
      <c r="J3" s="68"/>
    </row>
    <row r="4" spans="1:10" ht="14.5" x14ac:dyDescent="0.35">
      <c r="A4" s="49" t="s">
        <v>37</v>
      </c>
      <c r="B4" s="37" t="s">
        <v>38</v>
      </c>
      <c r="C4" s="35"/>
      <c r="D4" s="35"/>
      <c r="E4" s="35"/>
      <c r="F4" s="35"/>
      <c r="G4" s="35"/>
      <c r="H4" s="35"/>
      <c r="I4" s="36"/>
      <c r="J4" s="68"/>
    </row>
    <row r="5" spans="1:10" ht="15" thickBot="1" x14ac:dyDescent="0.4">
      <c r="A5" s="49" t="s">
        <v>39</v>
      </c>
      <c r="B5" s="38" t="s">
        <v>40</v>
      </c>
      <c r="C5" s="35"/>
      <c r="D5" s="35"/>
      <c r="E5" s="35"/>
      <c r="F5" s="35"/>
      <c r="G5" s="35"/>
      <c r="H5" s="35"/>
      <c r="I5" s="39"/>
      <c r="J5" s="68"/>
    </row>
    <row r="6" spans="1:10" ht="14.5" x14ac:dyDescent="0.35">
      <c r="A6" s="49" t="s">
        <v>41</v>
      </c>
      <c r="B6" s="40" t="s">
        <v>42</v>
      </c>
      <c r="C6" s="41"/>
      <c r="D6" s="41"/>
      <c r="E6" s="41"/>
      <c r="F6" s="41"/>
      <c r="G6" s="41"/>
      <c r="H6" s="41"/>
      <c r="I6" s="42"/>
      <c r="J6" s="68"/>
    </row>
    <row r="7" spans="1:10" ht="14.5" x14ac:dyDescent="0.35">
      <c r="A7" s="49" t="s">
        <v>43</v>
      </c>
      <c r="B7" s="43" t="s">
        <v>44</v>
      </c>
      <c r="C7" s="44"/>
      <c r="D7" s="44"/>
      <c r="E7" s="44"/>
      <c r="F7" s="44"/>
      <c r="G7" s="44"/>
      <c r="H7" s="44"/>
      <c r="I7" s="45"/>
      <c r="J7" s="68"/>
    </row>
    <row r="8" spans="1:10" ht="15" thickBot="1" x14ac:dyDescent="0.4">
      <c r="A8" s="49" t="s">
        <v>45</v>
      </c>
      <c r="B8" s="46" t="s">
        <v>46</v>
      </c>
      <c r="C8" s="47"/>
      <c r="D8" s="47"/>
      <c r="E8" s="47"/>
      <c r="F8" s="47"/>
      <c r="G8" s="47"/>
      <c r="H8" s="47"/>
      <c r="I8" s="48"/>
      <c r="J8" s="68"/>
    </row>
    <row r="9" spans="1:10" ht="15" thickBot="1" x14ac:dyDescent="0.4">
      <c r="A9" s="49"/>
      <c r="B9" s="66" t="s">
        <v>47</v>
      </c>
      <c r="C9" s="67">
        <f>SUM(C6:C8)</f>
        <v>0</v>
      </c>
      <c r="D9" s="67">
        <f t="shared" ref="D9:I9" si="6">SUM(D6:D8)</f>
        <v>0</v>
      </c>
      <c r="E9" s="67">
        <f t="shared" si="6"/>
        <v>0</v>
      </c>
      <c r="F9" s="67">
        <f t="shared" si="6"/>
        <v>0</v>
      </c>
      <c r="G9" s="67">
        <f t="shared" si="6"/>
        <v>0</v>
      </c>
      <c r="H9" s="67">
        <f t="shared" si="6"/>
        <v>0</v>
      </c>
      <c r="I9" s="67">
        <f t="shared" si="6"/>
        <v>0</v>
      </c>
      <c r="J9" s="68"/>
    </row>
    <row r="10" spans="1:10" ht="14.5" x14ac:dyDescent="0.3">
      <c r="A10" s="68"/>
      <c r="B10" s="32" t="s">
        <v>48</v>
      </c>
      <c r="C10" s="33">
        <f>C2</f>
        <v>2026</v>
      </c>
      <c r="D10" s="33">
        <f t="shared" ref="D10:I10" si="7">D2</f>
        <v>2027</v>
      </c>
      <c r="E10" s="33">
        <f t="shared" si="7"/>
        <v>2028</v>
      </c>
      <c r="F10" s="33">
        <f t="shared" si="7"/>
        <v>2029</v>
      </c>
      <c r="G10" s="33">
        <f t="shared" si="7"/>
        <v>2030</v>
      </c>
      <c r="H10" s="33">
        <f t="shared" si="7"/>
        <v>2031</v>
      </c>
      <c r="I10" s="33">
        <f t="shared" si="7"/>
        <v>2032</v>
      </c>
      <c r="J10" s="68"/>
    </row>
    <row r="11" spans="1:10" ht="14.5" x14ac:dyDescent="0.35">
      <c r="A11" s="72" t="s">
        <v>49</v>
      </c>
      <c r="B11" s="73" t="s">
        <v>50</v>
      </c>
      <c r="C11" s="74"/>
      <c r="D11" s="74"/>
      <c r="E11" s="74"/>
      <c r="F11" s="74"/>
      <c r="G11" s="74"/>
      <c r="H11" s="74"/>
      <c r="I11" s="74"/>
      <c r="J11" s="74"/>
    </row>
    <row r="12" spans="1:10" x14ac:dyDescent="0.3">
      <c r="A12" s="68"/>
      <c r="B12" s="68"/>
      <c r="C12" s="68"/>
      <c r="D12" s="68"/>
      <c r="E12" s="68"/>
      <c r="F12" s="68"/>
      <c r="G12" s="68"/>
      <c r="H12" s="68"/>
      <c r="I12" s="68"/>
      <c r="J12" s="68"/>
    </row>
    <row r="13" spans="1:10" x14ac:dyDescent="0.3">
      <c r="A13" s="68"/>
      <c r="B13" s="68"/>
      <c r="C13" s="68"/>
      <c r="D13" s="68"/>
      <c r="E13" s="68"/>
      <c r="F13" s="68"/>
      <c r="G13" s="68"/>
      <c r="H13" s="68"/>
      <c r="I13" s="68"/>
      <c r="J13" s="68"/>
    </row>
    <row r="19" spans="14:14" x14ac:dyDescent="0.3">
      <c r="N19" s="50"/>
    </row>
  </sheetData>
  <phoneticPr fontId="36" type="noConversion"/>
  <conditionalFormatting sqref="A11:J11">
    <cfRule type="expression" dxfId="4" priority="4" stopIfTrue="1">
      <formula>AND(A$1&gt;0,INDIRECT("proj"&amp;A$1)&amp;"1"="1")</formula>
    </cfRule>
  </conditionalFormatting>
  <conditionalFormatting sqref="C3:I8">
    <cfRule type="expression" dxfId="3" priority="7">
      <formula>NOT(C$9)</formula>
    </cfRule>
  </conditionalFormatting>
  <conditionalFormatting sqref="C11:J11">
    <cfRule type="expression" dxfId="2" priority="5">
      <formula>NOT(C$9)</formula>
    </cfRule>
    <cfRule type="expression" dxfId="1" priority="6" stopIfTrue="1">
      <formula>AND(C11&amp;"1"="1",LEFT($B11,5)&lt;&gt;"Auftr",LEFT($B11,5)&lt;&gt;"Sacha")</formula>
    </cfRule>
  </conditionalFormatting>
  <conditionalFormatting sqref="D2:J2">
    <cfRule type="expression" dxfId="0" priority="2" stopIfTrue="1">
      <formula>AND(D$1&gt;0,INDIRECT("proj"&amp;D$1)&amp;"1"="1")</formula>
    </cfRule>
  </conditionalFormatting>
  <pageMargins left="0.7" right="0.7" top="0.78740157499999996" bottom="0.78740157499999996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9079CE9514E754BAC1ED150B37C1027" ma:contentTypeVersion="13" ma:contentTypeDescription="Ein neues Dokument erstellen." ma:contentTypeScope="" ma:versionID="c758abe75988c0da405743548d1ffe2b">
  <xsd:schema xmlns:xsd="http://www.w3.org/2001/XMLSchema" xmlns:xs="http://www.w3.org/2001/XMLSchema" xmlns:p="http://schemas.microsoft.com/office/2006/metadata/properties" xmlns:ns2="bc16cae2-7c78-4e12-82c1-c1c36fd84881" xmlns:ns3="e9e2a382-bd21-4cef-b676-7fc5467fcaf2" targetNamespace="http://schemas.microsoft.com/office/2006/metadata/properties" ma:root="true" ma:fieldsID="c018fca81b19335a4da32313f394b4a7" ns2:_="" ns3:_="">
    <xsd:import namespace="bc16cae2-7c78-4e12-82c1-c1c36fd84881"/>
    <xsd:import namespace="e9e2a382-bd21-4cef-b676-7fc5467fca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16cae2-7c78-4e12-82c1-c1c36fd84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24e2e45e-bae1-4521-9e08-bcc28736a4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2a382-bd21-4cef-b676-7fc5467fcaf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b53b080-99f4-4a58-98b5-5b08276e9947}" ma:internalName="TaxCatchAll" ma:showField="CatchAllData" ma:web="e9e2a382-bd21-4cef-b676-7fc5467fca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16cae2-7c78-4e12-82c1-c1c36fd84881">
      <Terms xmlns="http://schemas.microsoft.com/office/infopath/2007/PartnerControls"/>
    </lcf76f155ced4ddcb4097134ff3c332f>
    <TaxCatchAll xmlns="e9e2a382-bd21-4cef-b676-7fc5467fcaf2" xsi:nil="true"/>
  </documentManagement>
</p:properties>
</file>

<file path=customXml/itemProps1.xml><?xml version="1.0" encoding="utf-8"?>
<ds:datastoreItem xmlns:ds="http://schemas.openxmlformats.org/officeDocument/2006/customXml" ds:itemID="{15875D1E-4BB0-8543-9C89-4CB5F3E9724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5D893AA-E494-4946-B821-8F3486E484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16cae2-7c78-4e12-82c1-c1c36fd84881"/>
    <ds:schemaRef ds:uri="e9e2a382-bd21-4cef-b676-7fc5467fca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86C1FB-0DE3-41BD-9FEB-687EE753D3D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8E33D81-31E7-4DB1-9673-593A0D7EEEC4}">
  <ds:schemaRefs>
    <ds:schemaRef ds:uri="bc16cae2-7c78-4e12-82c1-c1c36fd84881"/>
    <ds:schemaRef ds:uri="http://purl.org/dc/elements/1.1/"/>
    <ds:schemaRef ds:uri="http://schemas.microsoft.com/office/2006/documentManagement/types"/>
    <ds:schemaRef ds:uri="e9e2a382-bd21-4cef-b676-7fc5467fcaf2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Arbeitsplan</vt:lpstr>
      <vt:lpstr>Jahresscheiben</vt:lpstr>
      <vt:lpstr>Display_Week</vt:lpstr>
      <vt:lpstr>Project_Start</vt:lpstr>
    </vt:vector>
  </TitlesOfParts>
  <Manager/>
  <Company>BWA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Stundennachweis</dc:title>
  <dc:subject/>
  <dc:creator>WL/P37-Thomas Friedrich</dc:creator>
  <cp:keywords/>
  <dc:description/>
  <cp:lastModifiedBy>Ping Zhou</cp:lastModifiedBy>
  <cp:revision/>
  <dcterms:created xsi:type="dcterms:W3CDTF">1999-09-22T07:17:56Z</dcterms:created>
  <dcterms:modified xsi:type="dcterms:W3CDTF">2026-08-26T09:01:47Z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0x010100F9079CE9514E754BAC1ED150B37C1027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